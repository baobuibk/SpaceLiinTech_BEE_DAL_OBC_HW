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29_DAL_OBC\SpaceLiinTech_BEE_DAL_OBC_HW\03_BOM\"/>
    </mc:Choice>
  </mc:AlternateContent>
  <xr:revisionPtr revIDLastSave="0" documentId="13_ncr:1_{3C55985C-9B34-4DBE-B6DD-37DED4750649}" xr6:coauthVersionLast="36" xr6:coauthVersionMax="36" xr10:uidLastSave="{00000000-0000-0000-0000-000000000000}"/>
  <bookViews>
    <workbookView xWindow="0" yWindow="0" windowWidth="23016" windowHeight="11256" xr2:uid="{3F8B4A8A-2F08-4104-86AA-51C3BADDD92F}"/>
  </bookViews>
  <sheets>
    <sheet name="DAL_OBC_V11" sheetId="1" r:id="rId1"/>
  </sheets>
  <definedNames>
    <definedName name="_xlnm.Print_Titles" localSheetId="0">DAL_OBC_V11!$1:$1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3" i="1" l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116" i="1"/>
  <c r="A117" i="1"/>
  <c r="A118" i="1"/>
  <c r="A119" i="1"/>
  <c r="A59" i="1"/>
  <c r="A60" i="1"/>
  <c r="A12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</calcChain>
</file>

<file path=xl/sharedStrings.xml><?xml version="1.0" encoding="utf-8"?>
<sst xmlns="http://schemas.openxmlformats.org/spreadsheetml/2006/main" count="680" uniqueCount="446">
  <si>
    <t>Line #</t>
  </si>
  <si>
    <t>Name</t>
  </si>
  <si>
    <t>Description</t>
  </si>
  <si>
    <t>Designator</t>
  </si>
  <si>
    <t>Quantity</t>
  </si>
  <si>
    <t>Footprint</t>
  </si>
  <si>
    <t>Manufacturer 1</t>
  </si>
  <si>
    <t>Manufacturer Part Number 1</t>
  </si>
  <si>
    <t/>
  </si>
  <si>
    <t>JP1, JP2, JP3, JP4, JP5, JP10, JP11</t>
  </si>
  <si>
    <t>JUMPER_1608</t>
  </si>
  <si>
    <t>LED_0603</t>
  </si>
  <si>
    <t>_LED_RED</t>
  </si>
  <si>
    <t>LED RED CLEAR 0603 SMD</t>
  </si>
  <si>
    <t>0R</t>
  </si>
  <si>
    <t>RES</t>
  </si>
  <si>
    <t>R3, R4, R8, R32, R36, R263, R264, R265, R266, R267, R317, R413</t>
  </si>
  <si>
    <t>RES_C_1005x30_L</t>
  </si>
  <si>
    <t>0.1uF/10V</t>
  </si>
  <si>
    <t>CAP</t>
  </si>
  <si>
    <t>C20, C21, C22, C23, C24, C25, C26, C27, C28, C29, C30, C31, C32, C33, C35, C36, C37, C38, C39, C40, C41, C42, C43, C44, C45, C46, C47, C48, C49, C52, C53, C54, C56, C58, C59, C60, C63, C66, C67, C68, C77, C78, C79, C80, C81, C82, C83, C84, C85, C86, C87, C88, C89, C90, C91, C92, C93, C94, C96, C97, C98, C99, C100, C101, C102, C103, C104, C105, C106, C107, C109, C110, C111, C112, C113, C114, C116, C117</t>
  </si>
  <si>
    <t>CAP_C_0603x30</t>
  </si>
  <si>
    <t>CAP, CAP CHIP</t>
  </si>
  <si>
    <t>C5, C6, C17, C18, C57, C69, C71, C72, C73, C74, C75, C119, C122, C123, C124, C125, C126, C127, C128, C129, C132, C133, C134, C135, C136, C138, C146, C147, C148, C149, C150, C151, C153, C154, C164, C165, C167, C168, C170, C171, C180, C213, C214, C215, C216, C217, C218, C219, C220, C221, C222, C224, C249, C250, C251, C252, C253, C254, C256, C257, C260, C261, C262, C281, C283, C284, C285, C287, C288, C289, C290, C292, C293, C294, C295, C296, C297, C298</t>
  </si>
  <si>
    <t>CAP_C_1005X50_L</t>
  </si>
  <si>
    <t>1k</t>
  </si>
  <si>
    <t>R5, R159, R160, R230, R231, R232, R244, R246, R247, R318, R320, R327, R356, R369, R381, R382, R404, R419, R423, R428, R431, R455, R518</t>
  </si>
  <si>
    <t>1M 1%</t>
  </si>
  <si>
    <t>R35</t>
  </si>
  <si>
    <t>CAP CHIP, CAP</t>
  </si>
  <si>
    <t>1uF/20V</t>
  </si>
  <si>
    <t>1.6k</t>
  </si>
  <si>
    <t>2.2nF/10V</t>
  </si>
  <si>
    <t>3.24k</t>
  </si>
  <si>
    <t>4.02k</t>
  </si>
  <si>
    <t>R28</t>
  </si>
  <si>
    <t>4.7k</t>
  </si>
  <si>
    <t>RES_C_1005X40</t>
  </si>
  <si>
    <t>4.7nF/50V</t>
  </si>
  <si>
    <t>C166</t>
  </si>
  <si>
    <t>CAP_C_1608X80</t>
  </si>
  <si>
    <t>4.7uF/10V</t>
  </si>
  <si>
    <t>CAP CHIP High Value</t>
  </si>
  <si>
    <t>10k</t>
  </si>
  <si>
    <t>16.9k</t>
  </si>
  <si>
    <t>RES_C_0603X30</t>
  </si>
  <si>
    <t>18pF/10V</t>
  </si>
  <si>
    <t>C55, C62, C65, C70, C238, C240, C242</t>
  </si>
  <si>
    <t>20k</t>
  </si>
  <si>
    <t>R25, R26</t>
  </si>
  <si>
    <t>22R</t>
  </si>
  <si>
    <t>22uF/10V</t>
  </si>
  <si>
    <t>36k</t>
  </si>
  <si>
    <t>R301, R436</t>
  </si>
  <si>
    <t>47k</t>
  </si>
  <si>
    <t>47uF/6.3V</t>
  </si>
  <si>
    <t>C172, C177, C178</t>
  </si>
  <si>
    <t>47uF/10V</t>
  </si>
  <si>
    <t>CAP_C_3225X80</t>
  </si>
  <si>
    <t>CAP High Value</t>
  </si>
  <si>
    <t>47uF/25V</t>
  </si>
  <si>
    <t>C243, C244, C245</t>
  </si>
  <si>
    <t>60R</t>
  </si>
  <si>
    <t>R222, R224</t>
  </si>
  <si>
    <t>100k</t>
  </si>
  <si>
    <t>R84, R88, R91, R322, R325, R366, R367, R368, R401, R453</t>
  </si>
  <si>
    <t>100R</t>
  </si>
  <si>
    <t>R454</t>
  </si>
  <si>
    <t>100uF/6.3V</t>
  </si>
  <si>
    <t>C176, C193, C194, C209, C210</t>
  </si>
  <si>
    <t>CAP_C_2012X110</t>
  </si>
  <si>
    <t>120R</t>
  </si>
  <si>
    <t>R228</t>
  </si>
  <si>
    <t>R418, R422, R427, R430</t>
  </si>
  <si>
    <t>133k</t>
  </si>
  <si>
    <t>R303, R312, R437, R444</t>
  </si>
  <si>
    <t>150k</t>
  </si>
  <si>
    <t>R324</t>
  </si>
  <si>
    <t>187k</t>
  </si>
  <si>
    <t>R323</t>
  </si>
  <si>
    <t>200R</t>
  </si>
  <si>
    <t>R19, R22, R23</t>
  </si>
  <si>
    <t>240R</t>
  </si>
  <si>
    <t>R156, R158</t>
  </si>
  <si>
    <t>316k</t>
  </si>
  <si>
    <t>R328</t>
  </si>
  <si>
    <t>402k</t>
  </si>
  <si>
    <t>R242</t>
  </si>
  <si>
    <t>470k</t>
  </si>
  <si>
    <t>R298, R306, R339, R433, R440</t>
  </si>
  <si>
    <t>600 Ohms @ 100 MHz</t>
  </si>
  <si>
    <t>FERRITE BEAD 600 OHM 0603 1LN</t>
  </si>
  <si>
    <t>FB1</t>
  </si>
  <si>
    <t>IND_C_1608X60</t>
  </si>
  <si>
    <t>Murata</t>
  </si>
  <si>
    <t>3035</t>
  </si>
  <si>
    <t>Battery Clip; THM; 20mm Cell; PhosBronze/Nickel | Keystone Electronics 3035</t>
  </si>
  <si>
    <t>BT1</t>
  </si>
  <si>
    <t>BAT_3035</t>
  </si>
  <si>
    <t>0473460001</t>
  </si>
  <si>
    <t>No Description Available</t>
  </si>
  <si>
    <t>J3</t>
  </si>
  <si>
    <t>47346-0001_MOL</t>
  </si>
  <si>
    <t>0532610471</t>
  </si>
  <si>
    <t>J4, J10</t>
  </si>
  <si>
    <t>MOLEX_0532610471</t>
  </si>
  <si>
    <t>0532610671</t>
  </si>
  <si>
    <t>J5, J6, J14, J15</t>
  </si>
  <si>
    <t>MOLEX_0532610671</t>
  </si>
  <si>
    <t>0532611171</t>
  </si>
  <si>
    <t>J8, J12, J16, J17</t>
  </si>
  <si>
    <t>MOLEX_0532611171</t>
  </si>
  <si>
    <t>5040500891</t>
  </si>
  <si>
    <t>J18</t>
  </si>
  <si>
    <t>MOLEX_5040500891</t>
  </si>
  <si>
    <t>5090500991</t>
  </si>
  <si>
    <t>J7</t>
  </si>
  <si>
    <t>MOLEX_5040500991</t>
  </si>
  <si>
    <t>BME688</t>
  </si>
  <si>
    <t>Gas sensor measuring relative humidity, barometric pressure, ambient temperature and gas (VOC)</t>
  </si>
  <si>
    <t>U9</t>
  </si>
  <si>
    <t>IC_BME688</t>
  </si>
  <si>
    <t>BSS138NH6327XTSA2</t>
  </si>
  <si>
    <t>Transistor MOS</t>
  </si>
  <si>
    <t>Q1</t>
  </si>
  <si>
    <t>SOT-23-3</t>
  </si>
  <si>
    <t>Infineon</t>
  </si>
  <si>
    <t>CAT93C46BHU4I-GT3</t>
  </si>
  <si>
    <t>EEPROM Memory IC 1Kb (128 x 8, 64 x 16) SPI 4 MHz 8-UDFN-EP (2x3)</t>
  </si>
  <si>
    <t>U17</t>
  </si>
  <si>
    <t>onsemi</t>
  </si>
  <si>
    <t>Crystal 2 Pins</t>
  </si>
  <si>
    <t>Crystal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</si>
  <si>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</si>
  <si>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</si>
  <si>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</si>
  <si>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</si>
  <si>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</si>
  <si>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</si>
  <si>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</si>
  <si>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Abracon</t>
  </si>
  <si>
    <t>ABM8G-24.000MHZ-18-D2Y-T</t>
  </si>
  <si>
    <t>DFE252012P-1R5M=P2</t>
  </si>
  <si>
    <t>Inductor</t>
  </si>
  <si>
    <t>L1, L2, L3, L4, L5, L6, L7</t>
  </si>
  <si>
    <t>IND_C_1008</t>
  </si>
  <si>
    <t>DMG301NU-7</t>
  </si>
  <si>
    <t>Q2, Q3, Q4, Q5, Q8, Q9, Q10, Q11, Q12</t>
  </si>
  <si>
    <t>SOT95P240X120-3N</t>
  </si>
  <si>
    <t>DNP/0R</t>
  </si>
  <si>
    <t>JP6, JP13, JP14</t>
  </si>
  <si>
    <t>RES_C_1608X60</t>
  </si>
  <si>
    <t>JP7</t>
  </si>
  <si>
    <t>JUMPER_1-2_1608X60</t>
  </si>
  <si>
    <t>JP8, JP9, JP12</t>
  </si>
  <si>
    <t>R30, R33, R34</t>
  </si>
  <si>
    <t>R288, R289, R414, R415</t>
  </si>
  <si>
    <t>R485, R486</t>
  </si>
  <si>
    <t>DNP/1M 1%</t>
  </si>
  <si>
    <t>R31</t>
  </si>
  <si>
    <t>DNP/4.7k</t>
  </si>
  <si>
    <t>R54, R57, R211, R212, R235, R260, R277, R278, R281, R282</t>
  </si>
  <si>
    <t>R359, R360, R361</t>
  </si>
  <si>
    <t>R410, R512, R513</t>
  </si>
  <si>
    <t>DNP/10k</t>
  </si>
  <si>
    <t>R13, R21, R89, R90, R93, R94, R108, R115, R119, R123, R128, R133, R152, R305, R348, R405, R439, R456, R457, R458</t>
  </si>
  <si>
    <t>DNP/22R</t>
  </si>
  <si>
    <t>R29</t>
  </si>
  <si>
    <t>DNP/120R</t>
  </si>
  <si>
    <t>R236, R237</t>
  </si>
  <si>
    <t>DNP/AS3004204-0108X0PSAY</t>
  </si>
  <si>
    <t>U29</t>
  </si>
  <si>
    <t>SOIC127P790X216-8</t>
  </si>
  <si>
    <t>DNP/DSC10xx DFN-4</t>
  </si>
  <si>
    <t>Y2</t>
  </si>
  <si>
    <t>DFN-4_2.5x2</t>
  </si>
  <si>
    <t>Microchip Technology</t>
  </si>
  <si>
    <t>DNP/DSC60xx DFN-4_LGA-4</t>
  </si>
  <si>
    <t>Y4</t>
  </si>
  <si>
    <t>DFN-4_2x1.6</t>
  </si>
  <si>
    <t>Microchip</t>
  </si>
  <si>
    <t>ESQ-126-14-G-D</t>
  </si>
  <si>
    <t>CONN SOCKET 52POS 0.1 GOLD PCB</t>
  </si>
  <si>
    <t>H1, H2</t>
  </si>
  <si>
    <t>SAMTEC_ESQ-126-14-G-D</t>
  </si>
  <si>
    <t>FSUSB74MPX</t>
  </si>
  <si>
    <t>USB Switch IC 1 Channel 16-MLP (3x3)</t>
  </si>
  <si>
    <t>U32</t>
  </si>
  <si>
    <t>QFN50P300X300X80-17N</t>
  </si>
  <si>
    <t>Header 4x1</t>
  </si>
  <si>
    <t>J9, J11, J20</t>
  </si>
  <si>
    <t>Header_254P_4x1</t>
  </si>
  <si>
    <t>Header 8x1</t>
  </si>
  <si>
    <t>J2</t>
  </si>
  <si>
    <t>Header_254P_8x1</t>
  </si>
  <si>
    <t>J13</t>
  </si>
  <si>
    <t>PAD JTAG 1.27</t>
  </si>
  <si>
    <t>hole_space</t>
  </si>
  <si>
    <t>Hole1, Hole2, Hole3, Hole4</t>
  </si>
  <si>
    <t>HEX-M3_NoVia</t>
  </si>
  <si>
    <t>IP4220CZ6</t>
  </si>
  <si>
    <t>U7, U8</t>
  </si>
  <si>
    <t>SOT95P280X145-6N</t>
  </si>
  <si>
    <t>IS43TR16512BL-125KBLI</t>
  </si>
  <si>
    <t>DDR3L</t>
  </si>
  <si>
    <t>U4</t>
  </si>
  <si>
    <t>TWBGA96_ISI</t>
  </si>
  <si>
    <t>JUMPER</t>
  </si>
  <si>
    <t>SB1, SB2, SB3, SB4, SB6</t>
  </si>
  <si>
    <t>KRL1632E-M-R010-F-T5</t>
  </si>
  <si>
    <t>Shunt</t>
  </si>
  <si>
    <t>R12, R15, R17, R18, R81, R83, R103, R105</t>
  </si>
  <si>
    <t>RES_C_1206_SHUNT</t>
  </si>
  <si>
    <t>Susumu</t>
  </si>
  <si>
    <t>LM1117MP-3.3/NOPB</t>
  </si>
  <si>
    <t>800-mA 15-V linear voltage regulator</t>
  </si>
  <si>
    <t>VR1, VR2</t>
  </si>
  <si>
    <t>VREG_LM1117MP-3.3/NOPB</t>
  </si>
  <si>
    <t>LTC2865HMSE#TRPBF</t>
  </si>
  <si>
    <t>Â±60V Fault Protected 3V to 5.5V RS485/RS422 Transceivers</t>
  </si>
  <si>
    <t>U23</t>
  </si>
  <si>
    <t>MSOP-12_MSE_LIT</t>
  </si>
  <si>
    <t>LTC3569EUDC#TRPBF</t>
  </si>
  <si>
    <t>Triple Buck Regulator with 1.2A and Two 600mA Outputs and Individual Programmable References</t>
  </si>
  <si>
    <t>IC1</t>
  </si>
  <si>
    <t>QFN20_UDC_3X4_ADI</t>
  </si>
  <si>
    <t>MAX3485CSA+T</t>
  </si>
  <si>
    <t>Low-Power, Slew-Rate-Limited RS-485/RS-422 Transceivers, IC TRANSCEIVER HALF 1/1 8SOIC</t>
  </si>
  <si>
    <t>U28</t>
  </si>
  <si>
    <t>21-0041-3-M_90-0096-8L_MXM</t>
  </si>
  <si>
    <t>MCP16502 QFN-32</t>
  </si>
  <si>
    <t>U1</t>
  </si>
  <si>
    <t>QFN-32_5X5_EP3.7X3.7</t>
  </si>
  <si>
    <t>MCP16502TAB-E/S8B</t>
  </si>
  <si>
    <t>MIC2026-1YM</t>
  </si>
  <si>
    <t>Power Switch/Driver 1:2 N-Channel 1.25A 8-SOIC</t>
  </si>
  <si>
    <t>U10, U20, U40</t>
  </si>
  <si>
    <t>SOIC127P602X173-8N</t>
  </si>
  <si>
    <t>MMBT2222A</t>
  </si>
  <si>
    <t>Q6, Q7</t>
  </si>
  <si>
    <t>Nexperia</t>
  </si>
  <si>
    <t>MMBT2907</t>
  </si>
  <si>
    <t>Q16</t>
  </si>
  <si>
    <t>Molex_1051620001</t>
  </si>
  <si>
    <t>9 (8 + 1) Position Card Connector Secure Digital - microSDâ„¢ Surface Mount, Right Angle Gold</t>
  </si>
  <si>
    <t>J1</t>
  </si>
  <si>
    <t>MTFC16GAKAEDQ-AIT TR</t>
  </si>
  <si>
    <t>U5</t>
  </si>
  <si>
    <t>BGA_100_C_100P_10X17_1400X1800X150</t>
  </si>
  <si>
    <t>OPA2340UA</t>
  </si>
  <si>
    <t>U41, U42</t>
  </si>
  <si>
    <t>PAC1934 UQFN-16</t>
  </si>
  <si>
    <t>U2, U6</t>
  </si>
  <si>
    <t>UQFN-16_4X4_EP2.6X2.6</t>
  </si>
  <si>
    <t>PAC1934T-I/JQ</t>
  </si>
  <si>
    <t>PCA9508DP,118</t>
  </si>
  <si>
    <t>U38, U39, U43</t>
  </si>
  <si>
    <t>TSOP8</t>
  </si>
  <si>
    <t>PI3WVR626XEBEX</t>
  </si>
  <si>
    <t>U37</t>
  </si>
  <si>
    <t>PI3WVR626XEBEX_DIO</t>
  </si>
  <si>
    <t>RV-3129-C3-32.768KHZ-OPTION-A-TB-QA</t>
  </si>
  <si>
    <t>Real-Time Clock Module with I2C-Bus</t>
  </si>
  <si>
    <t>U15</t>
  </si>
  <si>
    <t>IC_RV-3129-C3-32.768KHZ-OPTION-A-TB-QA</t>
  </si>
  <si>
    <t>S25FL128LAGMFI010</t>
  </si>
  <si>
    <t>U18</t>
  </si>
  <si>
    <t>SOIC8_S25FL_CYP</t>
  </si>
  <si>
    <t>SAMA7G54</t>
  </si>
  <si>
    <t>SAMA7G54 MPU 1000MHz Cortex-A7 TFBGA-343</t>
  </si>
  <si>
    <t>U3</t>
  </si>
  <si>
    <t>TFBGA-343_14x14 - 2.5mm</t>
  </si>
  <si>
    <t>SAMA7G54-V/4HB</t>
  </si>
  <si>
    <t>SIT8924BA-11-33E-100.000000</t>
  </si>
  <si>
    <t>Oscillator MEMS 100MHz ±20ppm (Stability) 15pF HCMOS/LVCMOS 55% 2.5V/2.8V/3V/3.3V Medical 4-Pin QFN SMD T/R</t>
  </si>
  <si>
    <t>X1</t>
  </si>
  <si>
    <t>SiTime</t>
  </si>
  <si>
    <t>SN65C3232PWR</t>
  </si>
  <si>
    <t>2/2 Transceiver Full RS232 16-TSSOP 1GHz</t>
  </si>
  <si>
    <t>U35</t>
  </si>
  <si>
    <t>SOP65P640X120-16N</t>
  </si>
  <si>
    <t>SN65HVD230DR</t>
  </si>
  <si>
    <t>3.3 V CAN Transceiver with Standby Mode</t>
  </si>
  <si>
    <t>U21, U22</t>
  </si>
  <si>
    <t>SN74AXCH8T245PWR</t>
  </si>
  <si>
    <t>8-Bit Dual-Supply Bus Transceiver</t>
  </si>
  <si>
    <t>U26, U27, U31</t>
  </si>
  <si>
    <t>SOP65P640X120-24N</t>
  </si>
  <si>
    <t>SN74LV4052APWR</t>
  </si>
  <si>
    <t>5-V, 4:1, 2-channel analog multiplexer</t>
  </si>
  <si>
    <t>U19</t>
  </si>
  <si>
    <t>SN3257QPWRQ1</t>
  </si>
  <si>
    <t>Automotive 5-V, 2:1 (SPDT), 4-channel switch with 1.8-V logic and powered-off protection 16-TSSOP -40 to 125</t>
  </si>
  <si>
    <t>U13, U14</t>
  </si>
  <si>
    <t>SOIC_PRQ1_TEX</t>
  </si>
  <si>
    <t>SS54</t>
  </si>
  <si>
    <t>DIODE SCHOTTKY</t>
  </si>
  <si>
    <t>D1, D9, D15, D16, D18</t>
  </si>
  <si>
    <t>DO-214AC_SMA</t>
  </si>
  <si>
    <t>TC1047AVNBTR</t>
  </si>
  <si>
    <t>SENSOR ANALOG -40C-125C SOT23-3</t>
  </si>
  <si>
    <t>U12</t>
  </si>
  <si>
    <t>TLV75518PDBVR</t>
  </si>
  <si>
    <t>U44</t>
  </si>
  <si>
    <t>SOT25</t>
  </si>
  <si>
    <t>TPL5010DDCR</t>
  </si>
  <si>
    <t>OSC PROG TIMER TSOT23-6</t>
  </si>
  <si>
    <t>U16</t>
  </si>
  <si>
    <t>TPS259470ARPWR</t>
  </si>
  <si>
    <t>U24, U25, U33</t>
  </si>
  <si>
    <t>VQFN-HR-10</t>
  </si>
  <si>
    <t>U30, U34</t>
  </si>
  <si>
    <t>USBLC6-2SC6</t>
  </si>
  <si>
    <t>17V Clamp 5A (8/20Âµs) Ipp Tvs Diode Surface Mount SOT-23-6</t>
  </si>
  <si>
    <t>D6, D7, D8, D13, D14</t>
  </si>
  <si>
    <t>XC7A35T-1FTG256C</t>
  </si>
  <si>
    <t>Artix-7 FPGA, 170 User I/Os, 0 GTP, 256-Ball BGA, Speed Grade 1, Commercial Grade, Pb-Free</t>
  </si>
  <si>
    <t>U11</t>
  </si>
  <si>
    <t>FTG256</t>
  </si>
  <si>
    <t>DNP list</t>
  </si>
  <si>
    <t>D3, D17, D25, DS6, D11, D12, DS4, D2, D10, D19, D20, DS5, DS1, DS2, DS3</t>
  </si>
  <si>
    <t>C141, C152, C156, C157, C158, C159, C160, C161, C175, C179, C181, C182, C183, C184, C185, C186, C199, C200, C201, C202, C203, C204, C205, C206, C255, C286, C291, C118, C137, C139, C140, C155, C192, C276, C142, C143, C144, C145, C228, C246, C270</t>
  </si>
  <si>
    <t>Holy Stone Enterprise Co., Ltd.</t>
  </si>
  <si>
    <t>C0402B105K025T</t>
  </si>
  <si>
    <t>CAP CER 1UF 25V X5R 0402</t>
  </si>
  <si>
    <t>R304, R344, R438, R313, R446</t>
  </si>
  <si>
    <t>Wurth Electronics</t>
  </si>
  <si>
    <t>150060YS75000</t>
  </si>
  <si>
    <t>YAGEO</t>
  </si>
  <si>
    <t>RC0402JR-070RL</t>
  </si>
  <si>
    <t>RES 0 OHM JUMPER 1/16W 0402</t>
  </si>
  <si>
    <t>Murata Electronics</t>
  </si>
  <si>
    <t>GRM033C71C104ME14D</t>
  </si>
  <si>
    <t>CAP CER 0.1UF 16V X7S 0201</t>
  </si>
  <si>
    <t>Samsung Electro-Mechanics</t>
  </si>
  <si>
    <t>CL05B104KA5NNNC</t>
  </si>
  <si>
    <t>CAP CER 0.1UF 25V X7R 0402</t>
  </si>
  <si>
    <t>Panasonic</t>
  </si>
  <si>
    <t>ERJ-2RKF1001X</t>
  </si>
  <si>
    <t>RES SMD 1K OHM 1% 1/10W 0402</t>
  </si>
  <si>
    <t>RC0402FR-071ML</t>
  </si>
  <si>
    <t>1M 0402</t>
  </si>
  <si>
    <t>ERJ-2RKF1601X</t>
  </si>
  <si>
    <t>RES SMD 1.6K OHM 1% 1/10W 0402</t>
  </si>
  <si>
    <t>CL05B222KB5NNNC</t>
  </si>
  <si>
    <t>CAP CER 2200PF 50V X7R 0402</t>
  </si>
  <si>
    <t>Vishay Dale</t>
  </si>
  <si>
    <t>CRCW04023K24FKED</t>
  </si>
  <si>
    <t>RES 3.24K OHM 1% 1/16W 0402</t>
  </si>
  <si>
    <t>Panasonic Industry</t>
  </si>
  <si>
    <t>ERA-2AEB4021X</t>
  </si>
  <si>
    <t>RES SMD 4.02KOHM 0.1% 1/16W 0402</t>
  </si>
  <si>
    <t>CRCW04024K70FKED</t>
  </si>
  <si>
    <t>RES 4.7K OHM 1% 1/16W 0402</t>
  </si>
  <si>
    <t>GRM155R61A475MEAAD</t>
  </si>
  <si>
    <t>CAP CER 4.7UF 10V X5R 0402</t>
  </si>
  <si>
    <t>ERJ-2RKF1002X</t>
  </si>
  <si>
    <t>RES SMD 10K OHM 1% 1/10W 0402</t>
  </si>
  <si>
    <t>KEMET</t>
  </si>
  <si>
    <t>CBR04C180F5GAC</t>
  </si>
  <si>
    <t>CAP CER 18PF 50V C0G/NP0 0402</t>
  </si>
  <si>
    <t>RC0402FR-0720KL</t>
  </si>
  <si>
    <t>RES 20K OHM 1% 1/16W 0402</t>
  </si>
  <si>
    <t>RG1005R-220-D-T10</t>
  </si>
  <si>
    <t>RES SMD 22 OHM 0.5% 1/16W 0402</t>
  </si>
  <si>
    <t>GRT188R61A226ME13D</t>
  </si>
  <si>
    <t>CAP CER 22UF 10V X5R 0603</t>
  </si>
  <si>
    <t>RC0402JR-0736KL</t>
  </si>
  <si>
    <t>RES 36K OHM 5% 1/16W 0402</t>
  </si>
  <si>
    <t>ERA-2APB473X</t>
  </si>
  <si>
    <t>RES SMD 47K OHM 0.1% 1/16W 0402</t>
  </si>
  <si>
    <t>GRM188R60J476ME15D</t>
  </si>
  <si>
    <t>CAP CER 47UF 6.3V X5R 0603</t>
  </si>
  <si>
    <t>Taiyo Yuden</t>
  </si>
  <si>
    <t>TMK325ABJ476MM-T</t>
  </si>
  <si>
    <t>CAP CER 47UF 25V X5R 1210</t>
  </si>
  <si>
    <t>RC0402FR-0760R4L</t>
  </si>
  <si>
    <t>RES 60.4 OHM 1% 1/16W 0402</t>
  </si>
  <si>
    <t>ERJ-2RKF1003X</t>
  </si>
  <si>
    <t>RES 100K OHM 1% 1/10W 0402</t>
  </si>
  <si>
    <t>CRCW0402100RFKEDHP</t>
  </si>
  <si>
    <t>RES SMD 100 OHM 1% 1/5W 0402</t>
  </si>
  <si>
    <t>GRM21BR60J107ME15K</t>
  </si>
  <si>
    <t>CAP CER 100UF 6.3V X5R 0805</t>
  </si>
  <si>
    <t>ERA-2AEB121X</t>
  </si>
  <si>
    <t>RES SMD 120 OHM 0.1% 1/16W 0402</t>
  </si>
  <si>
    <t>ERJ-U02F1333X</t>
  </si>
  <si>
    <t>RES 133K OHM 1% 1/10W 0402</t>
  </si>
  <si>
    <t>TE Connectivity Passive Product</t>
  </si>
  <si>
    <t>CPF0402B150KE1</t>
  </si>
  <si>
    <t>RMCF0402FT187K</t>
  </si>
  <si>
    <t>RES 187K OHM 1% 1/16W 0402</t>
  </si>
  <si>
    <t>Yageo Group</t>
  </si>
  <si>
    <t>AC0201FR-07200RL</t>
  </si>
  <si>
    <t>RES SMD 200 OHM 1% 1/20W 0201</t>
  </si>
  <si>
    <t>Stackpole Electronics</t>
  </si>
  <si>
    <t>RMCF0201FT240R</t>
  </si>
  <si>
    <t>RES 240 OHM 1% 1/20W 0201</t>
  </si>
  <si>
    <t>RC0402FR-13316KL</t>
  </si>
  <si>
    <t>RES 316K OHM 1% 1/16W 0402</t>
  </si>
  <si>
    <t>RC0402FR-07402KL</t>
  </si>
  <si>
    <t>RES 402K OHM 1% 1/16W 0402</t>
  </si>
  <si>
    <t>CRGCQ0402F470K</t>
  </si>
  <si>
    <t>RES 470K OHM 1% 1/16W 0402</t>
  </si>
  <si>
    <t>BLM18PG121SN1D</t>
  </si>
  <si>
    <t>FERRITE BEAD 120 OHM 0603 1LN</t>
  </si>
  <si>
    <t>Keystone Electronics</t>
  </si>
  <si>
    <t>Molex</t>
  </si>
  <si>
    <t>Diodes Incorporated</t>
  </si>
  <si>
    <t>Samtec Inc.</t>
  </si>
  <si>
    <t>IP4220CZ6F</t>
  </si>
  <si>
    <t>ISSI, Integrated Silicon Solution Inc</t>
  </si>
  <si>
    <t>Texas Instruments</t>
  </si>
  <si>
    <t>Analog Devices Inc.</t>
  </si>
  <si>
    <t>Analog Devices Inc./Maxim Integrated</t>
  </si>
  <si>
    <t>Diotec Semiconductor</t>
  </si>
  <si>
    <t>Micron Technology Inc.</t>
  </si>
  <si>
    <t>NXP USA Inc.</t>
  </si>
  <si>
    <t>Micro Crystal AG</t>
  </si>
  <si>
    <t>Infineon Technologies</t>
  </si>
  <si>
    <t>EVVO</t>
  </si>
  <si>
    <t>Shenzhen Slkormicro Semicon Co., Ltd.</t>
  </si>
  <si>
    <t>AMD</t>
  </si>
  <si>
    <t>C229, C230, C247, C248, C271, C272, C195, C196, C277, C278</t>
  </si>
  <si>
    <t>R302, R309, R314, R451, R311, R326, R445</t>
  </si>
  <si>
    <t>R1, R2, R107, R124, R207, R208, R209, R210, R218, R219, R220, R221, R233, R234, R238, R239, R240, R241, R248, R249, R250, R251, R252, R253, R256, R257, R258, R261, R279, R280, R351, R352, R9, R157, R245, R388, R473, R474, R475, R476, R480, R481, R510, R511</t>
  </si>
  <si>
    <t>CL10B472KB8NNNC</t>
  </si>
  <si>
    <t>CAP CER 4700PF 50V X7R 0603</t>
  </si>
  <si>
    <t>C1, C3, C4, C7, C9, C11, C14, C15, C16, C19, C34, C50, C51, C61, C64, C76, C95, C108, C115, C120, C121, C130, C131, C162, C163, C169, C173, C174, C187, C188, C197, C198, C207, C208, C211, C212, C13, C223, C263, C264, C265, C266</t>
  </si>
  <si>
    <t>R6, R7, R10, R11, R14, R16, R20, R38, R60, R79, R80, R113, R114, R117, R134, R136, R144, R145, R153, R154, R155, R161, R162, R163, R164, R165, R166, R167, R168, R169, R170, R171, R172, R225, R226, R229, R254, R255, R290, R291, R310, R316, R319, R321, R337, R342, R345, R346, R347, R349, R350, R357, R406, R408, R409, R416, R417, R420, R424, R429, R432, R443, R452, R504, R505, R506, R507, R421, R425, R426, R464, R479, R484, R487, R488, R491, R494, R497, R500, R508, R509, R516</t>
  </si>
  <si>
    <t>R37, R39, R40, R41, R42, R43, R44, R45, R46, R47, R48, R49, R50, R51, R52, R53, R55, R56, R58, R59, R61, R62, R63, R64, R65, R66, R67, R68, R69, R70, R71, R72, R73, R74, R75, R76, R77, R78, R82, R85, R86, R87, R92, R95, R96, R97, R98, R99, R100, R101, R102, R104, R106, R109, R110, R111, R112, R116, R118, R120, R121, R122, R125, R126, R127, R129, R130, R131, R132, R135, R137, R138, R139, R140, R141, R142, R143, R146, R147, R148, R149, R150, R151, R173, R174, R175, R176, R177, R178, R179, R180, R181, R182, R183, R184, R185, R186, R187, R188, R189, R190, R191, R192, R193, R194, R195, R196, R197, R198, R199, R200, R201, R202, R203, R204, R205, R206, R213, R214, R215, R223, R227, R243, R268, R269, R270, R271, R272, R273, R274, R275, R276, R284, R285, R286, R287, R292, R293, R294, R295, R296, R297, R315, R329, R330, R331, R332, R333, R334, R335, R336, R353, R354, R355, R362, R363, R364, R365, R370, R371, R372, R373, R374, R375, R376, R377, R378, R379, R380, R383, R386, R387, R389, R390, R391, R392, R393, R394, R395, R396, R397, R398, R399, R400, R402, R447, R448, R449, R450, R501, R502, R503, R517, R259, R262, R384, R385, R411, R412, R477, R478, R482, R483, R489, R490, R492, R493, R495, R496, R498, R499, R514, R515</t>
  </si>
  <si>
    <t>C2, C8, C10, C12, C237, C239, C241, C258, C259, C231, C234, C299, C300</t>
  </si>
  <si>
    <t>R299, R300, R340, R341, R343, R434, R435, R307, R308, R338, R358, R403, R407, R441, R442</t>
  </si>
  <si>
    <t>C189, C190, C191, C273, C274, C275, C225, C226, C227, C232, C233, C235, C236, C267, C268, C269</t>
  </si>
  <si>
    <t>GMC32X6S476K10NT</t>
  </si>
  <si>
    <t>Cal-Chip Electronics, Inc.</t>
  </si>
  <si>
    <t>CAP1210 X6S 47UF 10% 10V</t>
  </si>
  <si>
    <t>R24, R27</t>
  </si>
  <si>
    <t>R216, R217, R283</t>
  </si>
  <si>
    <t>RES_C_0603x30</t>
  </si>
  <si>
    <t>Panasonic Electronic Components</t>
  </si>
  <si>
    <t>ERJ-1GNF1692C</t>
  </si>
  <si>
    <t>RES SMD 16.9K OHM 1% 1/20W 0201</t>
  </si>
  <si>
    <t>ERJ-2RKF1652X</t>
  </si>
  <si>
    <t>RES SMD 16.5K OHM 1% 1/10W 0402</t>
  </si>
  <si>
    <t>16.5k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</si>
</sst>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0" fillId="0" borderId="2" xfId="0" quotePrefix="1" applyBorder="1"/>
    <xf numFmtId="0" fontId="0" fillId="0" borderId="1" xfId="0" applyFill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1B18-D298-400D-B8EE-69E9B63000AF}">
  <dimension ref="A1:I120"/>
  <sheetViews>
    <sheetView tabSelected="1" topLeftCell="B1" zoomScaleNormal="100" workbookViewId="0">
      <selection activeCell="E23" sqref="E23"/>
    </sheetView>
  </sheetViews>
  <sheetFormatPr defaultRowHeight="13.8" x14ac:dyDescent="0.25"/>
  <cols>
    <col min="1" max="1" width="26.19921875" customWidth="1"/>
    <col min="2" max="2" width="24.3984375" customWidth="1"/>
    <col min="3" max="3" width="35.5" customWidth="1"/>
    <col min="4" max="4" width="21" customWidth="1"/>
    <col min="5" max="5" width="10" customWidth="1"/>
    <col min="6" max="6" width="27.59765625" customWidth="1"/>
    <col min="7" max="7" width="33.19921875" bestFit="1" customWidth="1"/>
    <col min="8" max="8" width="39.796875" customWidth="1"/>
    <col min="9" max="9" width="42.1992187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9" x14ac:dyDescent="0.25">
      <c r="A2" s="2" t="str">
        <f t="shared" ref="A2:A47" si="0">B2&amp;F2</f>
        <v>_LED_REDLED_0603</v>
      </c>
      <c r="B2" s="2" t="s">
        <v>12</v>
      </c>
      <c r="C2" s="2" t="s">
        <v>13</v>
      </c>
      <c r="D2" s="2" t="s">
        <v>320</v>
      </c>
      <c r="E2" s="1">
        <v>15</v>
      </c>
      <c r="F2" s="2" t="s">
        <v>11</v>
      </c>
      <c r="G2" s="1" t="s">
        <v>326</v>
      </c>
      <c r="H2" s="1" t="s">
        <v>327</v>
      </c>
      <c r="I2" s="1">
        <v>0</v>
      </c>
    </row>
    <row r="3" spans="1:9" x14ac:dyDescent="0.25">
      <c r="A3" s="2" t="str">
        <f t="shared" si="0"/>
        <v>0RRES_C_1005x30_L</v>
      </c>
      <c r="B3" s="2" t="s">
        <v>14</v>
      </c>
      <c r="C3" s="2" t="s">
        <v>15</v>
      </c>
      <c r="D3" s="2" t="s">
        <v>16</v>
      </c>
      <c r="E3" s="1">
        <v>12</v>
      </c>
      <c r="F3" s="2" t="s">
        <v>17</v>
      </c>
      <c r="G3" s="1" t="s">
        <v>328</v>
      </c>
      <c r="H3" s="1" t="s">
        <v>329</v>
      </c>
      <c r="I3" s="1" t="s">
        <v>330</v>
      </c>
    </row>
    <row r="4" spans="1:9" x14ac:dyDescent="0.25">
      <c r="A4" s="2" t="str">
        <f t="shared" si="0"/>
        <v>0.1uF/10VCAP_C_0603x30</v>
      </c>
      <c r="B4" s="2" t="s">
        <v>18</v>
      </c>
      <c r="C4" s="2" t="s">
        <v>19</v>
      </c>
      <c r="D4" s="2" t="s">
        <v>20</v>
      </c>
      <c r="E4" s="1">
        <v>78</v>
      </c>
      <c r="F4" s="2" t="s">
        <v>21</v>
      </c>
      <c r="G4" s="1" t="s">
        <v>331</v>
      </c>
      <c r="H4" s="1" t="s">
        <v>332</v>
      </c>
      <c r="I4" s="1" t="s">
        <v>333</v>
      </c>
    </row>
    <row r="5" spans="1:9" x14ac:dyDescent="0.25">
      <c r="A5" s="2" t="str">
        <f t="shared" si="0"/>
        <v>0.1uF/10VCAP_C_1005X50_L</v>
      </c>
      <c r="B5" s="2" t="s">
        <v>18</v>
      </c>
      <c r="C5" s="2" t="s">
        <v>22</v>
      </c>
      <c r="D5" s="2" t="s">
        <v>23</v>
      </c>
      <c r="E5" s="1">
        <v>78</v>
      </c>
      <c r="F5" s="2" t="s">
        <v>24</v>
      </c>
      <c r="G5" s="1" t="s">
        <v>334</v>
      </c>
      <c r="H5" s="1" t="s">
        <v>335</v>
      </c>
      <c r="I5" s="1" t="s">
        <v>336</v>
      </c>
    </row>
    <row r="6" spans="1:9" x14ac:dyDescent="0.25">
      <c r="A6" s="2" t="str">
        <f t="shared" si="0"/>
        <v>1kRES_C_1005x30_L</v>
      </c>
      <c r="B6" s="2" t="s">
        <v>25</v>
      </c>
      <c r="C6" s="2" t="s">
        <v>15</v>
      </c>
      <c r="D6" s="2" t="s">
        <v>26</v>
      </c>
      <c r="E6" s="1">
        <v>23</v>
      </c>
      <c r="F6" s="2" t="s">
        <v>17</v>
      </c>
      <c r="G6" s="1" t="s">
        <v>337</v>
      </c>
      <c r="H6" s="1" t="s">
        <v>338</v>
      </c>
      <c r="I6" s="1" t="s">
        <v>339</v>
      </c>
    </row>
    <row r="7" spans="1:9" x14ac:dyDescent="0.25">
      <c r="A7" s="2" t="str">
        <f t="shared" si="0"/>
        <v>1M 1%RES_C_1005x30_L</v>
      </c>
      <c r="B7" s="2" t="s">
        <v>27</v>
      </c>
      <c r="C7" s="2" t="s">
        <v>15</v>
      </c>
      <c r="D7" s="2" t="s">
        <v>28</v>
      </c>
      <c r="E7" s="1">
        <v>1</v>
      </c>
      <c r="F7" s="2" t="s">
        <v>17</v>
      </c>
      <c r="G7" s="1" t="s">
        <v>328</v>
      </c>
      <c r="H7" s="1" t="s">
        <v>340</v>
      </c>
      <c r="I7" s="1" t="s">
        <v>341</v>
      </c>
    </row>
    <row r="8" spans="1:9" x14ac:dyDescent="0.25">
      <c r="A8" s="2" t="str">
        <f t="shared" si="0"/>
        <v>1uF/20VCAP_C_1005X50_L</v>
      </c>
      <c r="B8" s="2" t="s">
        <v>30</v>
      </c>
      <c r="C8" s="2" t="s">
        <v>29</v>
      </c>
      <c r="D8" s="2" t="s">
        <v>321</v>
      </c>
      <c r="E8" s="1">
        <v>41</v>
      </c>
      <c r="F8" s="2" t="s">
        <v>24</v>
      </c>
      <c r="G8" s="1" t="s">
        <v>322</v>
      </c>
      <c r="H8" s="1" t="s">
        <v>323</v>
      </c>
      <c r="I8" s="1" t="s">
        <v>324</v>
      </c>
    </row>
    <row r="9" spans="1:9" x14ac:dyDescent="0.25">
      <c r="A9" s="2" t="str">
        <f t="shared" si="0"/>
        <v>1.6kRES_C_1005x30_L</v>
      </c>
      <c r="B9" s="2" t="s">
        <v>31</v>
      </c>
      <c r="C9" s="2" t="s">
        <v>15</v>
      </c>
      <c r="D9" s="2" t="s">
        <v>325</v>
      </c>
      <c r="E9" s="1">
        <v>5</v>
      </c>
      <c r="F9" s="2" t="s">
        <v>17</v>
      </c>
      <c r="G9" s="1" t="s">
        <v>337</v>
      </c>
      <c r="H9" s="1" t="s">
        <v>342</v>
      </c>
      <c r="I9" s="1" t="s">
        <v>343</v>
      </c>
    </row>
    <row r="10" spans="1:9" x14ac:dyDescent="0.25">
      <c r="A10" s="2" t="str">
        <f t="shared" si="0"/>
        <v>2.2nF/10VCAP_C_1005X50_L</v>
      </c>
      <c r="B10" s="2" t="s">
        <v>32</v>
      </c>
      <c r="C10" s="2" t="s">
        <v>19</v>
      </c>
      <c r="D10" s="2" t="s">
        <v>423</v>
      </c>
      <c r="E10" s="1">
        <v>10</v>
      </c>
      <c r="F10" s="2" t="s">
        <v>24</v>
      </c>
      <c r="G10" s="1" t="s">
        <v>334</v>
      </c>
      <c r="H10" s="1" t="s">
        <v>344</v>
      </c>
      <c r="I10" s="1" t="s">
        <v>345</v>
      </c>
    </row>
    <row r="11" spans="1:9" x14ac:dyDescent="0.25">
      <c r="A11" s="2" t="str">
        <f t="shared" si="0"/>
        <v>3.24kRES_C_1005x30_L</v>
      </c>
      <c r="B11" s="2" t="s">
        <v>33</v>
      </c>
      <c r="C11" s="2" t="s">
        <v>15</v>
      </c>
      <c r="D11" s="2" t="s">
        <v>424</v>
      </c>
      <c r="E11" s="1">
        <v>7</v>
      </c>
      <c r="F11" s="2" t="s">
        <v>17</v>
      </c>
      <c r="G11" s="1" t="s">
        <v>346</v>
      </c>
      <c r="H11" s="1" t="s">
        <v>347</v>
      </c>
      <c r="I11" s="1" t="s">
        <v>348</v>
      </c>
    </row>
    <row r="12" spans="1:9" x14ac:dyDescent="0.25">
      <c r="A12" s="2" t="str">
        <f t="shared" si="0"/>
        <v>4.02kRES_C_1005x30_L</v>
      </c>
      <c r="B12" s="2" t="s">
        <v>34</v>
      </c>
      <c r="C12" s="2" t="s">
        <v>15</v>
      </c>
      <c r="D12" s="2" t="s">
        <v>35</v>
      </c>
      <c r="E12" s="1">
        <v>1</v>
      </c>
      <c r="F12" s="2" t="s">
        <v>17</v>
      </c>
      <c r="G12" s="1" t="s">
        <v>349</v>
      </c>
      <c r="H12" s="1" t="s">
        <v>350</v>
      </c>
      <c r="I12" s="1" t="s">
        <v>351</v>
      </c>
    </row>
    <row r="13" spans="1:9" x14ac:dyDescent="0.25">
      <c r="A13" s="2" t="str">
        <f t="shared" si="0"/>
        <v>4.7kRES_C_1005x30_L</v>
      </c>
      <c r="B13" s="2" t="s">
        <v>36</v>
      </c>
      <c r="C13" s="2" t="s">
        <v>15</v>
      </c>
      <c r="D13" s="2" t="s">
        <v>425</v>
      </c>
      <c r="E13" s="1">
        <v>44</v>
      </c>
      <c r="F13" s="2" t="s">
        <v>17</v>
      </c>
      <c r="G13" s="1" t="s">
        <v>346</v>
      </c>
      <c r="H13" s="1" t="s">
        <v>352</v>
      </c>
      <c r="I13" s="1" t="s">
        <v>353</v>
      </c>
    </row>
    <row r="14" spans="1:9" x14ac:dyDescent="0.25">
      <c r="A14" s="2" t="str">
        <f t="shared" si="0"/>
        <v>4.7nF/50VCAP_C_1608X80</v>
      </c>
      <c r="B14" s="2" t="s">
        <v>38</v>
      </c>
      <c r="C14" s="2" t="s">
        <v>19</v>
      </c>
      <c r="D14" s="2" t="s">
        <v>39</v>
      </c>
      <c r="E14" s="1">
        <v>1</v>
      </c>
      <c r="F14" s="2" t="s">
        <v>40</v>
      </c>
      <c r="G14" s="1" t="s">
        <v>334</v>
      </c>
      <c r="H14" s="1" t="s">
        <v>426</v>
      </c>
      <c r="I14" s="7" t="s">
        <v>427</v>
      </c>
    </row>
    <row r="15" spans="1:9" x14ac:dyDescent="0.25">
      <c r="A15" s="2" t="str">
        <f t="shared" si="0"/>
        <v>4.7uF/10VCAP_C_1005X50_L</v>
      </c>
      <c r="B15" s="2" t="s">
        <v>41</v>
      </c>
      <c r="C15" s="2" t="s">
        <v>19</v>
      </c>
      <c r="D15" s="2" t="s">
        <v>428</v>
      </c>
      <c r="E15" s="1">
        <v>42</v>
      </c>
      <c r="F15" s="2" t="s">
        <v>24</v>
      </c>
      <c r="G15" s="1" t="s">
        <v>331</v>
      </c>
      <c r="H15" s="1" t="s">
        <v>354</v>
      </c>
      <c r="I15" s="1" t="s">
        <v>355</v>
      </c>
    </row>
    <row r="16" spans="1:9" x14ac:dyDescent="0.25">
      <c r="A16" s="2" t="str">
        <f t="shared" si="0"/>
        <v>10kRES_C_1005x30_L</v>
      </c>
      <c r="B16" s="2" t="s">
        <v>43</v>
      </c>
      <c r="C16" s="2" t="s">
        <v>15</v>
      </c>
      <c r="D16" s="2" t="s">
        <v>429</v>
      </c>
      <c r="E16" s="1">
        <v>82</v>
      </c>
      <c r="F16" s="2" t="s">
        <v>17</v>
      </c>
      <c r="G16" s="1" t="s">
        <v>337</v>
      </c>
      <c r="H16" s="1" t="s">
        <v>356</v>
      </c>
      <c r="I16" s="1" t="s">
        <v>357</v>
      </c>
    </row>
    <row r="17" spans="1:9" x14ac:dyDescent="0.25">
      <c r="A17" s="2" t="str">
        <f t="shared" si="0"/>
        <v>16.9kRES_C_0603x30</v>
      </c>
      <c r="B17" s="2" t="s">
        <v>44</v>
      </c>
      <c r="C17" s="2" t="s">
        <v>15</v>
      </c>
      <c r="D17" s="2" t="s">
        <v>437</v>
      </c>
      <c r="E17" s="1">
        <v>2</v>
      </c>
      <c r="F17" s="2" t="s">
        <v>439</v>
      </c>
      <c r="G17" s="1" t="s">
        <v>440</v>
      </c>
      <c r="H17" s="1" t="s">
        <v>441</v>
      </c>
      <c r="I17" t="s">
        <v>442</v>
      </c>
    </row>
    <row r="18" spans="1:9" x14ac:dyDescent="0.25">
      <c r="A18" s="2"/>
      <c r="B18" s="2" t="s">
        <v>445</v>
      </c>
      <c r="C18" s="2" t="s">
        <v>15</v>
      </c>
      <c r="D18" s="2" t="s">
        <v>438</v>
      </c>
      <c r="E18" s="1">
        <v>3</v>
      </c>
      <c r="F18" s="2" t="s">
        <v>17</v>
      </c>
      <c r="G18" s="1" t="s">
        <v>349</v>
      </c>
      <c r="H18" s="1" t="s">
        <v>443</v>
      </c>
      <c r="I18" t="s">
        <v>444</v>
      </c>
    </row>
    <row r="19" spans="1:9" x14ac:dyDescent="0.25">
      <c r="A19" s="2" t="str">
        <f t="shared" si="0"/>
        <v>18pF/10VCAP_C_1005X50_L</v>
      </c>
      <c r="B19" s="2" t="s">
        <v>46</v>
      </c>
      <c r="C19" s="2" t="s">
        <v>19</v>
      </c>
      <c r="D19" s="2" t="s">
        <v>47</v>
      </c>
      <c r="E19" s="1">
        <v>7</v>
      </c>
      <c r="F19" s="2" t="s">
        <v>24</v>
      </c>
      <c r="G19" s="1" t="s">
        <v>358</v>
      </c>
      <c r="H19" s="1" t="s">
        <v>359</v>
      </c>
      <c r="I19" s="1" t="s">
        <v>360</v>
      </c>
    </row>
    <row r="20" spans="1:9" x14ac:dyDescent="0.25">
      <c r="A20" s="2" t="str">
        <f t="shared" si="0"/>
        <v>20kRES_C_1005x30_L</v>
      </c>
      <c r="B20" s="2" t="s">
        <v>48</v>
      </c>
      <c r="C20" s="2" t="s">
        <v>15</v>
      </c>
      <c r="D20" s="2" t="s">
        <v>49</v>
      </c>
      <c r="E20" s="1">
        <v>2</v>
      </c>
      <c r="F20" s="2" t="s">
        <v>17</v>
      </c>
      <c r="G20" s="1" t="s">
        <v>328</v>
      </c>
      <c r="H20" s="1" t="s">
        <v>361</v>
      </c>
      <c r="I20" s="1" t="s">
        <v>362</v>
      </c>
    </row>
    <row r="21" spans="1:9" x14ac:dyDescent="0.25">
      <c r="A21" s="2" t="str">
        <f t="shared" si="0"/>
        <v>22RRES_C_1005x30_L</v>
      </c>
      <c r="B21" s="2" t="s">
        <v>50</v>
      </c>
      <c r="C21" s="2" t="s">
        <v>15</v>
      </c>
      <c r="D21" s="2" t="s">
        <v>430</v>
      </c>
      <c r="E21" s="1">
        <v>213</v>
      </c>
      <c r="F21" s="2" t="s">
        <v>17</v>
      </c>
      <c r="G21" s="1" t="s">
        <v>337</v>
      </c>
      <c r="H21" s="1" t="s">
        <v>363</v>
      </c>
      <c r="I21" s="1" t="s">
        <v>364</v>
      </c>
    </row>
    <row r="22" spans="1:9" x14ac:dyDescent="0.25">
      <c r="A22" s="2" t="str">
        <f t="shared" si="0"/>
        <v>22uF/10VCAP_C_1608X80</v>
      </c>
      <c r="B22" s="2" t="s">
        <v>51</v>
      </c>
      <c r="C22" s="2" t="s">
        <v>19</v>
      </c>
      <c r="D22" s="2" t="s">
        <v>431</v>
      </c>
      <c r="E22" s="1">
        <v>13</v>
      </c>
      <c r="F22" s="2" t="s">
        <v>40</v>
      </c>
      <c r="G22" s="1" t="s">
        <v>94</v>
      </c>
      <c r="H22" s="1" t="s">
        <v>365</v>
      </c>
      <c r="I22" s="1" t="s">
        <v>366</v>
      </c>
    </row>
    <row r="23" spans="1:9" x14ac:dyDescent="0.25">
      <c r="A23" s="2" t="str">
        <f t="shared" si="0"/>
        <v>36kRES_C_1005x30_L</v>
      </c>
      <c r="B23" s="2" t="s">
        <v>52</v>
      </c>
      <c r="C23" s="2" t="s">
        <v>15</v>
      </c>
      <c r="D23" s="2" t="s">
        <v>53</v>
      </c>
      <c r="E23" s="1">
        <v>2</v>
      </c>
      <c r="F23" s="2" t="s">
        <v>17</v>
      </c>
      <c r="G23" s="1" t="s">
        <v>328</v>
      </c>
      <c r="H23" s="1" t="s">
        <v>367</v>
      </c>
      <c r="I23" s="1" t="s">
        <v>368</v>
      </c>
    </row>
    <row r="24" spans="1:9" x14ac:dyDescent="0.25">
      <c r="A24" s="2" t="str">
        <f t="shared" si="0"/>
        <v>47kRES_C_1005x30_L</v>
      </c>
      <c r="B24" s="2" t="s">
        <v>54</v>
      </c>
      <c r="C24" s="2" t="s">
        <v>15</v>
      </c>
      <c r="D24" s="2" t="s">
        <v>432</v>
      </c>
      <c r="E24" s="1">
        <v>15</v>
      </c>
      <c r="F24" s="2" t="s">
        <v>17</v>
      </c>
      <c r="G24" s="1" t="s">
        <v>349</v>
      </c>
      <c r="H24" s="1" t="s">
        <v>369</v>
      </c>
      <c r="I24" s="1" t="s">
        <v>370</v>
      </c>
    </row>
    <row r="25" spans="1:9" x14ac:dyDescent="0.25">
      <c r="A25" s="2" t="str">
        <f t="shared" si="0"/>
        <v>47uF/6.3VCAP_C_1608X80</v>
      </c>
      <c r="B25" s="2" t="s">
        <v>55</v>
      </c>
      <c r="C25" s="2" t="s">
        <v>19</v>
      </c>
      <c r="D25" s="2" t="s">
        <v>56</v>
      </c>
      <c r="E25" s="1">
        <v>3</v>
      </c>
      <c r="F25" s="2" t="s">
        <v>40</v>
      </c>
      <c r="G25" s="1" t="s">
        <v>331</v>
      </c>
      <c r="H25" s="1" t="s">
        <v>371</v>
      </c>
      <c r="I25" s="1" t="s">
        <v>372</v>
      </c>
    </row>
    <row r="26" spans="1:9" x14ac:dyDescent="0.25">
      <c r="A26" s="2" t="str">
        <f t="shared" si="0"/>
        <v>47uF/10VCAP_C_3225X80</v>
      </c>
      <c r="B26" s="2" t="s">
        <v>57</v>
      </c>
      <c r="C26" s="2" t="s">
        <v>42</v>
      </c>
      <c r="D26" s="2" t="s">
        <v>433</v>
      </c>
      <c r="E26" s="1">
        <v>16</v>
      </c>
      <c r="F26" s="2" t="s">
        <v>58</v>
      </c>
      <c r="G26" s="1" t="s">
        <v>435</v>
      </c>
      <c r="H26" s="8" t="s">
        <v>434</v>
      </c>
      <c r="I26" s="1" t="s">
        <v>436</v>
      </c>
    </row>
    <row r="27" spans="1:9" x14ac:dyDescent="0.25">
      <c r="A27" s="2" t="str">
        <f t="shared" si="0"/>
        <v>47uF/25VCAP_C_3225X80</v>
      </c>
      <c r="B27" s="2" t="s">
        <v>60</v>
      </c>
      <c r="C27" s="2" t="s">
        <v>59</v>
      </c>
      <c r="D27" s="2" t="s">
        <v>61</v>
      </c>
      <c r="E27" s="1">
        <v>3</v>
      </c>
      <c r="F27" s="2" t="s">
        <v>58</v>
      </c>
      <c r="G27" s="1" t="s">
        <v>373</v>
      </c>
      <c r="H27" s="1" t="s">
        <v>374</v>
      </c>
      <c r="I27" s="1" t="s">
        <v>375</v>
      </c>
    </row>
    <row r="28" spans="1:9" x14ac:dyDescent="0.25">
      <c r="A28" s="2" t="str">
        <f t="shared" si="0"/>
        <v>60RRES_C_1005x30_L</v>
      </c>
      <c r="B28" s="2" t="s">
        <v>62</v>
      </c>
      <c r="C28" s="2" t="s">
        <v>15</v>
      </c>
      <c r="D28" s="2" t="s">
        <v>63</v>
      </c>
      <c r="E28" s="1">
        <v>2</v>
      </c>
      <c r="F28" s="2" t="s">
        <v>17</v>
      </c>
      <c r="G28" s="1" t="s">
        <v>328</v>
      </c>
      <c r="H28" s="1" t="s">
        <v>376</v>
      </c>
      <c r="I28" s="1" t="s">
        <v>377</v>
      </c>
    </row>
    <row r="29" spans="1:9" x14ac:dyDescent="0.25">
      <c r="A29" s="2" t="str">
        <f t="shared" si="0"/>
        <v>100kRES_C_1005x30_L</v>
      </c>
      <c r="B29" s="2" t="s">
        <v>64</v>
      </c>
      <c r="C29" s="2" t="s">
        <v>15</v>
      </c>
      <c r="D29" s="2" t="s">
        <v>65</v>
      </c>
      <c r="E29" s="1">
        <v>10</v>
      </c>
      <c r="F29" s="2" t="s">
        <v>17</v>
      </c>
      <c r="G29" s="1" t="s">
        <v>337</v>
      </c>
      <c r="H29" s="1" t="s">
        <v>378</v>
      </c>
      <c r="I29" s="1" t="s">
        <v>379</v>
      </c>
    </row>
    <row r="30" spans="1:9" x14ac:dyDescent="0.25">
      <c r="A30" s="2" t="str">
        <f t="shared" si="0"/>
        <v>100RRES_C_1005x30_L</v>
      </c>
      <c r="B30" s="2" t="s">
        <v>66</v>
      </c>
      <c r="C30" s="2" t="s">
        <v>15</v>
      </c>
      <c r="D30" s="2" t="s">
        <v>67</v>
      </c>
      <c r="E30" s="1">
        <v>1</v>
      </c>
      <c r="F30" s="2" t="s">
        <v>17</v>
      </c>
      <c r="G30" s="1" t="s">
        <v>346</v>
      </c>
      <c r="H30" s="1" t="s">
        <v>380</v>
      </c>
      <c r="I30" s="1" t="s">
        <v>381</v>
      </c>
    </row>
    <row r="31" spans="1:9" x14ac:dyDescent="0.25">
      <c r="A31" s="2" t="str">
        <f t="shared" si="0"/>
        <v>100uF/6.3VCAP_C_2012X110</v>
      </c>
      <c r="B31" s="2" t="s">
        <v>68</v>
      </c>
      <c r="C31" s="2" t="s">
        <v>19</v>
      </c>
      <c r="D31" s="2" t="s">
        <v>69</v>
      </c>
      <c r="E31" s="1">
        <v>5</v>
      </c>
      <c r="F31" s="2" t="s">
        <v>70</v>
      </c>
      <c r="G31" s="1" t="s">
        <v>331</v>
      </c>
      <c r="H31" s="1" t="s">
        <v>382</v>
      </c>
      <c r="I31" s="1" t="s">
        <v>383</v>
      </c>
    </row>
    <row r="32" spans="1:9" x14ac:dyDescent="0.25">
      <c r="A32" s="2" t="str">
        <f t="shared" si="0"/>
        <v>120RRES_C_1005x30_L</v>
      </c>
      <c r="B32" s="2" t="s">
        <v>71</v>
      </c>
      <c r="C32" s="2" t="s">
        <v>15</v>
      </c>
      <c r="D32" s="2" t="s">
        <v>72</v>
      </c>
      <c r="E32" s="1">
        <v>1</v>
      </c>
      <c r="F32" s="2" t="s">
        <v>17</v>
      </c>
      <c r="G32" s="1" t="s">
        <v>337</v>
      </c>
      <c r="H32" s="1" t="s">
        <v>384</v>
      </c>
      <c r="I32" s="1" t="s">
        <v>385</v>
      </c>
    </row>
    <row r="33" spans="1:9" x14ac:dyDescent="0.25">
      <c r="A33" s="2" t="str">
        <f t="shared" si="0"/>
        <v>120RRES_C_1005x30_L</v>
      </c>
      <c r="B33" s="2" t="s">
        <v>71</v>
      </c>
      <c r="C33" s="2" t="s">
        <v>15</v>
      </c>
      <c r="D33" s="2" t="s">
        <v>73</v>
      </c>
      <c r="E33" s="1">
        <v>4</v>
      </c>
      <c r="F33" s="2" t="s">
        <v>17</v>
      </c>
      <c r="G33" s="1" t="s">
        <v>337</v>
      </c>
      <c r="H33" s="1" t="s">
        <v>384</v>
      </c>
      <c r="I33" s="1" t="s">
        <v>385</v>
      </c>
    </row>
    <row r="34" spans="1:9" x14ac:dyDescent="0.25">
      <c r="A34" s="2" t="str">
        <f t="shared" si="0"/>
        <v>133kRES_C_1005x30_L</v>
      </c>
      <c r="B34" s="2" t="s">
        <v>74</v>
      </c>
      <c r="C34" s="2" t="s">
        <v>15</v>
      </c>
      <c r="D34" s="2" t="s">
        <v>75</v>
      </c>
      <c r="E34" s="1">
        <v>4</v>
      </c>
      <c r="F34" s="2" t="s">
        <v>17</v>
      </c>
      <c r="G34" s="1" t="s">
        <v>349</v>
      </c>
      <c r="H34" s="1" t="s">
        <v>386</v>
      </c>
      <c r="I34" s="1" t="s">
        <v>387</v>
      </c>
    </row>
    <row r="35" spans="1:9" x14ac:dyDescent="0.25">
      <c r="A35" s="2" t="str">
        <f t="shared" si="0"/>
        <v>150kRES_C_1005x30_L</v>
      </c>
      <c r="B35" s="2" t="s">
        <v>76</v>
      </c>
      <c r="C35" s="2" t="s">
        <v>15</v>
      </c>
      <c r="D35" s="2" t="s">
        <v>77</v>
      </c>
      <c r="E35" s="1">
        <v>1</v>
      </c>
      <c r="F35" s="2" t="s">
        <v>17</v>
      </c>
      <c r="G35" s="1" t="s">
        <v>388</v>
      </c>
      <c r="H35" s="1" t="s">
        <v>389</v>
      </c>
      <c r="I35" s="1"/>
    </row>
    <row r="36" spans="1:9" x14ac:dyDescent="0.25">
      <c r="A36" s="2" t="str">
        <f t="shared" si="0"/>
        <v>187kRES_C_1005x30_L</v>
      </c>
      <c r="B36" s="2" t="s">
        <v>78</v>
      </c>
      <c r="C36" s="2" t="s">
        <v>15</v>
      </c>
      <c r="D36" s="2" t="s">
        <v>79</v>
      </c>
      <c r="E36" s="1">
        <v>1</v>
      </c>
      <c r="F36" s="2" t="s">
        <v>17</v>
      </c>
      <c r="G36" s="1" t="s">
        <v>390</v>
      </c>
      <c r="H36" s="1" t="s">
        <v>390</v>
      </c>
      <c r="I36" s="1" t="s">
        <v>391</v>
      </c>
    </row>
    <row r="37" spans="1:9" x14ac:dyDescent="0.25">
      <c r="A37" s="2" t="str">
        <f t="shared" si="0"/>
        <v>200RRES_C_0603X30</v>
      </c>
      <c r="B37" s="2" t="s">
        <v>80</v>
      </c>
      <c r="C37" s="2" t="s">
        <v>15</v>
      </c>
      <c r="D37" s="2" t="s">
        <v>81</v>
      </c>
      <c r="E37" s="1">
        <v>3</v>
      </c>
      <c r="F37" s="2" t="s">
        <v>45</v>
      </c>
      <c r="G37" s="1" t="s">
        <v>392</v>
      </c>
      <c r="H37" s="1" t="s">
        <v>393</v>
      </c>
      <c r="I37" s="1" t="s">
        <v>394</v>
      </c>
    </row>
    <row r="38" spans="1:9" x14ac:dyDescent="0.25">
      <c r="A38" s="2" t="str">
        <f t="shared" si="0"/>
        <v>240RRES_C_0603X30</v>
      </c>
      <c r="B38" s="2" t="s">
        <v>82</v>
      </c>
      <c r="C38" s="2" t="s">
        <v>15</v>
      </c>
      <c r="D38" s="2" t="s">
        <v>83</v>
      </c>
      <c r="E38" s="1">
        <v>2</v>
      </c>
      <c r="F38" s="2" t="s">
        <v>45</v>
      </c>
      <c r="G38" s="1" t="s">
        <v>395</v>
      </c>
      <c r="H38" s="1" t="s">
        <v>396</v>
      </c>
      <c r="I38" s="1" t="s">
        <v>397</v>
      </c>
    </row>
    <row r="39" spans="1:9" x14ac:dyDescent="0.25">
      <c r="A39" s="2" t="str">
        <f t="shared" si="0"/>
        <v>316kRES_C_1005x30_L</v>
      </c>
      <c r="B39" s="2" t="s">
        <v>84</v>
      </c>
      <c r="C39" s="2" t="s">
        <v>15</v>
      </c>
      <c r="D39" s="2" t="s">
        <v>85</v>
      </c>
      <c r="E39" s="1">
        <v>1</v>
      </c>
      <c r="F39" s="2" t="s">
        <v>17</v>
      </c>
      <c r="G39" s="1" t="s">
        <v>398</v>
      </c>
      <c r="H39" s="1" t="s">
        <v>398</v>
      </c>
      <c r="I39" s="1" t="s">
        <v>399</v>
      </c>
    </row>
    <row r="40" spans="1:9" x14ac:dyDescent="0.25">
      <c r="A40" s="2" t="str">
        <f t="shared" si="0"/>
        <v>402kRES_C_1005x30_L</v>
      </c>
      <c r="B40" s="2" t="s">
        <v>86</v>
      </c>
      <c r="C40" s="2" t="s">
        <v>15</v>
      </c>
      <c r="D40" s="2" t="s">
        <v>87</v>
      </c>
      <c r="E40" s="1">
        <v>1</v>
      </c>
      <c r="F40" s="2" t="s">
        <v>17</v>
      </c>
      <c r="G40" s="1" t="s">
        <v>400</v>
      </c>
      <c r="H40" s="1" t="s">
        <v>400</v>
      </c>
      <c r="I40" s="1" t="s">
        <v>401</v>
      </c>
    </row>
    <row r="41" spans="1:9" x14ac:dyDescent="0.25">
      <c r="A41" s="2" t="str">
        <f t="shared" si="0"/>
        <v>470kRES_C_1005x30_L</v>
      </c>
      <c r="B41" s="2" t="s">
        <v>88</v>
      </c>
      <c r="C41" s="2" t="s">
        <v>15</v>
      </c>
      <c r="D41" s="2" t="s">
        <v>89</v>
      </c>
      <c r="E41" s="1">
        <v>5</v>
      </c>
      <c r="F41" s="2" t="s">
        <v>17</v>
      </c>
      <c r="G41" s="1" t="s">
        <v>388</v>
      </c>
      <c r="H41" s="1" t="s">
        <v>402</v>
      </c>
      <c r="I41" s="1" t="s">
        <v>403</v>
      </c>
    </row>
    <row r="42" spans="1:9" x14ac:dyDescent="0.25">
      <c r="A42" s="2" t="str">
        <f t="shared" si="0"/>
        <v>600 Ohms @ 100 MHzIND_C_1608X60</v>
      </c>
      <c r="B42" s="2" t="s">
        <v>90</v>
      </c>
      <c r="C42" s="2" t="s">
        <v>91</v>
      </c>
      <c r="D42" s="2" t="s">
        <v>92</v>
      </c>
      <c r="E42" s="1">
        <v>1</v>
      </c>
      <c r="F42" s="2" t="s">
        <v>93</v>
      </c>
      <c r="G42" s="1" t="s">
        <v>331</v>
      </c>
      <c r="H42" s="1" t="s">
        <v>404</v>
      </c>
      <c r="I42" s="1" t="s">
        <v>405</v>
      </c>
    </row>
    <row r="43" spans="1:9" x14ac:dyDescent="0.25">
      <c r="A43" s="2" t="str">
        <f t="shared" si="0"/>
        <v>3035BAT_3035</v>
      </c>
      <c r="B43" s="2" t="s">
        <v>95</v>
      </c>
      <c r="C43" s="2" t="s">
        <v>96</v>
      </c>
      <c r="D43" s="2" t="s">
        <v>97</v>
      </c>
      <c r="E43" s="1">
        <v>1</v>
      </c>
      <c r="F43" s="2" t="s">
        <v>98</v>
      </c>
      <c r="G43" s="1" t="s">
        <v>406</v>
      </c>
      <c r="H43" s="1" t="s">
        <v>95</v>
      </c>
      <c r="I43" s="1"/>
    </row>
    <row r="44" spans="1:9" x14ac:dyDescent="0.25">
      <c r="A44" s="2" t="str">
        <f t="shared" si="0"/>
        <v>047346000147346-0001_MOL</v>
      </c>
      <c r="B44" s="2" t="s">
        <v>99</v>
      </c>
      <c r="C44" s="2" t="s">
        <v>100</v>
      </c>
      <c r="D44" s="2" t="s">
        <v>101</v>
      </c>
      <c r="E44" s="1">
        <v>1</v>
      </c>
      <c r="F44" s="2" t="s">
        <v>102</v>
      </c>
      <c r="G44" s="1" t="s">
        <v>407</v>
      </c>
      <c r="H44" s="1" t="s">
        <v>99</v>
      </c>
      <c r="I44" s="1"/>
    </row>
    <row r="45" spans="1:9" x14ac:dyDescent="0.25">
      <c r="A45" s="2" t="str">
        <f t="shared" si="0"/>
        <v>0532610471MOLEX_0532610471</v>
      </c>
      <c r="B45" s="2" t="s">
        <v>103</v>
      </c>
      <c r="C45" s="2" t="s">
        <v>8</v>
      </c>
      <c r="D45" s="2" t="s">
        <v>104</v>
      </c>
      <c r="E45" s="1">
        <v>2</v>
      </c>
      <c r="F45" s="2" t="s">
        <v>105</v>
      </c>
      <c r="G45" s="1" t="s">
        <v>407</v>
      </c>
      <c r="H45" s="1" t="s">
        <v>103</v>
      </c>
      <c r="I45" s="1"/>
    </row>
    <row r="46" spans="1:9" x14ac:dyDescent="0.25">
      <c r="A46" s="2" t="str">
        <f t="shared" si="0"/>
        <v>0532610671MOLEX_0532610671</v>
      </c>
      <c r="B46" s="2" t="s">
        <v>106</v>
      </c>
      <c r="C46" s="2" t="s">
        <v>8</v>
      </c>
      <c r="D46" s="2" t="s">
        <v>107</v>
      </c>
      <c r="E46" s="1">
        <v>4</v>
      </c>
      <c r="F46" s="2" t="s">
        <v>108</v>
      </c>
      <c r="G46" s="1" t="s">
        <v>407</v>
      </c>
      <c r="H46" s="1" t="s">
        <v>106</v>
      </c>
      <c r="I46" s="1"/>
    </row>
    <row r="47" spans="1:9" x14ac:dyDescent="0.25">
      <c r="A47" s="2" t="str">
        <f t="shared" si="0"/>
        <v>0532611171MOLEX_0532611171</v>
      </c>
      <c r="B47" s="2" t="s">
        <v>109</v>
      </c>
      <c r="C47" s="2" t="s">
        <v>8</v>
      </c>
      <c r="D47" s="2" t="s">
        <v>110</v>
      </c>
      <c r="E47" s="1">
        <v>4</v>
      </c>
      <c r="F47" s="2" t="s">
        <v>111</v>
      </c>
      <c r="G47" s="1" t="s">
        <v>407</v>
      </c>
      <c r="H47" s="1" t="s">
        <v>109</v>
      </c>
      <c r="I47" s="1"/>
    </row>
    <row r="48" spans="1:9" x14ac:dyDescent="0.25">
      <c r="A48" s="2" t="str">
        <f t="shared" ref="A48:A106" si="1">B48&amp;F48</f>
        <v>5040500891MOLEX_5040500891</v>
      </c>
      <c r="B48" s="2" t="s">
        <v>112</v>
      </c>
      <c r="C48" s="2" t="s">
        <v>8</v>
      </c>
      <c r="D48" s="2" t="s">
        <v>113</v>
      </c>
      <c r="E48" s="1">
        <v>1</v>
      </c>
      <c r="F48" s="2" t="s">
        <v>114</v>
      </c>
      <c r="G48" s="1" t="s">
        <v>407</v>
      </c>
      <c r="H48" s="1" t="s">
        <v>112</v>
      </c>
      <c r="I48" s="1"/>
    </row>
    <row r="49" spans="1:9" x14ac:dyDescent="0.25">
      <c r="A49" s="2" t="str">
        <f t="shared" si="1"/>
        <v>5090500991MOLEX_5040500991</v>
      </c>
      <c r="B49" s="2" t="s">
        <v>115</v>
      </c>
      <c r="C49" s="2" t="s">
        <v>8</v>
      </c>
      <c r="D49" s="2" t="s">
        <v>116</v>
      </c>
      <c r="E49" s="1">
        <v>1</v>
      </c>
      <c r="F49" s="2" t="s">
        <v>117</v>
      </c>
      <c r="G49" s="1" t="s">
        <v>407</v>
      </c>
      <c r="H49" s="1" t="s">
        <v>115</v>
      </c>
      <c r="I49" s="1"/>
    </row>
    <row r="50" spans="1:9" x14ac:dyDescent="0.25">
      <c r="A50" s="2" t="str">
        <f t="shared" si="1"/>
        <v>BME688IC_BME688</v>
      </c>
      <c r="B50" s="2" t="s">
        <v>118</v>
      </c>
      <c r="C50" s="2" t="s">
        <v>119</v>
      </c>
      <c r="D50" s="2" t="s">
        <v>120</v>
      </c>
      <c r="E50" s="1">
        <v>1</v>
      </c>
      <c r="F50" s="2" t="s">
        <v>121</v>
      </c>
      <c r="G50" s="1"/>
      <c r="H50" s="1" t="s">
        <v>118</v>
      </c>
      <c r="I50" s="1"/>
    </row>
    <row r="51" spans="1:9" x14ac:dyDescent="0.25">
      <c r="A51" s="2" t="str">
        <f t="shared" si="1"/>
        <v>BSS138NH6327XTSA2SOT-23-3</v>
      </c>
      <c r="B51" s="2" t="s">
        <v>122</v>
      </c>
      <c r="C51" s="2" t="s">
        <v>123</v>
      </c>
      <c r="D51" s="2" t="s">
        <v>124</v>
      </c>
      <c r="E51" s="1">
        <v>1</v>
      </c>
      <c r="F51" s="2" t="s">
        <v>125</v>
      </c>
      <c r="G51" s="1" t="s">
        <v>126</v>
      </c>
      <c r="H51" s="1" t="s">
        <v>122</v>
      </c>
      <c r="I51" s="1"/>
    </row>
    <row r="52" spans="1:9" x14ac:dyDescent="0.25">
      <c r="A52" s="2" t="str">
        <f t="shared" si="1"/>
        <v>CAT93C46BHU4I-GT3CAT93C46BHU4I-GT3</v>
      </c>
      <c r="B52" s="2" t="s">
        <v>127</v>
      </c>
      <c r="C52" s="2" t="s">
        <v>128</v>
      </c>
      <c r="D52" s="2" t="s">
        <v>129</v>
      </c>
      <c r="E52" s="1">
        <v>1</v>
      </c>
      <c r="F52" s="2" t="s">
        <v>127</v>
      </c>
      <c r="G52" s="1" t="s">
        <v>127</v>
      </c>
      <c r="H52" s="1" t="s">
        <v>127</v>
      </c>
      <c r="I52" s="1"/>
    </row>
    <row r="53" spans="1:9" x14ac:dyDescent="0.25">
      <c r="A53" s="2" t="str">
        <f t="shared" si="1"/>
        <v>Crystal 2 PinsCRYSTAL_NX2012SA</v>
      </c>
      <c r="B53" s="2" t="s">
        <v>131</v>
      </c>
      <c r="C53" s="2" t="s">
        <v>132</v>
      </c>
      <c r="D53" s="2" t="s">
        <v>133</v>
      </c>
      <c r="E53" s="1">
        <v>1</v>
      </c>
      <c r="F53" s="2" t="s">
        <v>134</v>
      </c>
      <c r="G53" s="1" t="s">
        <v>135</v>
      </c>
      <c r="H53" s="1" t="s">
        <v>136</v>
      </c>
      <c r="I53" s="1"/>
    </row>
    <row r="54" spans="1:9" x14ac:dyDescent="0.25">
      <c r="A54" s="2" t="str">
        <f t="shared" si="1"/>
        <v>Crystal 4 PinsCRYSTAL_ABM8G</v>
      </c>
      <c r="B54" s="2" t="s">
        <v>137</v>
      </c>
      <c r="C54" s="2" t="s">
        <v>132</v>
      </c>
      <c r="D54" s="2" t="s">
        <v>138</v>
      </c>
      <c r="E54" s="1">
        <v>1</v>
      </c>
      <c r="F54" s="2" t="s">
        <v>139</v>
      </c>
      <c r="G54" s="1" t="s">
        <v>140</v>
      </c>
      <c r="H54" s="1" t="s">
        <v>141</v>
      </c>
      <c r="I54" s="1"/>
    </row>
    <row r="55" spans="1:9" x14ac:dyDescent="0.25">
      <c r="A55" s="2" t="str">
        <f t="shared" si="1"/>
        <v>DFE252012P-1R5M=P2IND_C_1008</v>
      </c>
      <c r="B55" s="2" t="s">
        <v>142</v>
      </c>
      <c r="C55" s="2" t="s">
        <v>143</v>
      </c>
      <c r="D55" s="2" t="s">
        <v>144</v>
      </c>
      <c r="E55" s="1">
        <v>7</v>
      </c>
      <c r="F55" s="2" t="s">
        <v>145</v>
      </c>
      <c r="G55" s="1" t="s">
        <v>94</v>
      </c>
      <c r="H55" s="1" t="s">
        <v>142</v>
      </c>
      <c r="I55" s="1"/>
    </row>
    <row r="56" spans="1:9" x14ac:dyDescent="0.25">
      <c r="A56" s="2" t="str">
        <f t="shared" si="1"/>
        <v>DMG301NU-7SOT95P240X120-3N</v>
      </c>
      <c r="B56" s="2" t="s">
        <v>146</v>
      </c>
      <c r="C56" s="2" t="s">
        <v>8</v>
      </c>
      <c r="D56" s="2" t="s">
        <v>147</v>
      </c>
      <c r="E56" s="1">
        <v>9</v>
      </c>
      <c r="F56" s="2" t="s">
        <v>148</v>
      </c>
      <c r="G56" s="1" t="s">
        <v>408</v>
      </c>
      <c r="H56" s="1" t="s">
        <v>146</v>
      </c>
      <c r="I56" s="1"/>
    </row>
    <row r="57" spans="1:9" x14ac:dyDescent="0.25">
      <c r="A57" s="2" t="str">
        <f t="shared" si="1"/>
        <v>ESQ-126-14-G-DSAMTEC_ESQ-126-14-G-D</v>
      </c>
      <c r="B57" s="2" t="s">
        <v>181</v>
      </c>
      <c r="C57" s="2" t="s">
        <v>182</v>
      </c>
      <c r="D57" s="2" t="s">
        <v>183</v>
      </c>
      <c r="E57" s="1">
        <v>2</v>
      </c>
      <c r="F57" s="2" t="s">
        <v>184</v>
      </c>
      <c r="G57" s="1" t="s">
        <v>409</v>
      </c>
      <c r="H57" s="1" t="s">
        <v>181</v>
      </c>
      <c r="I57" s="1"/>
    </row>
    <row r="58" spans="1:9" x14ac:dyDescent="0.25">
      <c r="A58" s="2" t="str">
        <f t="shared" si="1"/>
        <v>FSUSB74MPXQFN50P300X300X80-17N</v>
      </c>
      <c r="B58" s="2" t="s">
        <v>185</v>
      </c>
      <c r="C58" s="2" t="s">
        <v>186</v>
      </c>
      <c r="D58" s="2" t="s">
        <v>187</v>
      </c>
      <c r="E58" s="1">
        <v>1</v>
      </c>
      <c r="F58" s="2" t="s">
        <v>188</v>
      </c>
      <c r="G58" s="1" t="s">
        <v>130</v>
      </c>
      <c r="H58" s="1" t="s">
        <v>185</v>
      </c>
      <c r="I58" s="1"/>
    </row>
    <row r="59" spans="1:9" x14ac:dyDescent="0.25">
      <c r="A59" s="2" t="str">
        <f t="shared" si="1"/>
        <v>IP4220CZ6SOT95P280X145-6N</v>
      </c>
      <c r="B59" s="2" t="s">
        <v>200</v>
      </c>
      <c r="C59" s="2" t="s">
        <v>8</v>
      </c>
      <c r="D59" s="2" t="s">
        <v>201</v>
      </c>
      <c r="E59" s="1">
        <v>2</v>
      </c>
      <c r="F59" s="2" t="s">
        <v>202</v>
      </c>
      <c r="G59" s="1" t="s">
        <v>240</v>
      </c>
      <c r="H59" s="1" t="s">
        <v>410</v>
      </c>
      <c r="I59" s="1"/>
    </row>
    <row r="60" spans="1:9" x14ac:dyDescent="0.25">
      <c r="A60" s="2" t="str">
        <f t="shared" si="1"/>
        <v>IS43TR16512BL-125KBLITWBGA96_ISI</v>
      </c>
      <c r="B60" s="2" t="s">
        <v>203</v>
      </c>
      <c r="C60" s="2" t="s">
        <v>204</v>
      </c>
      <c r="D60" s="2" t="s">
        <v>205</v>
      </c>
      <c r="E60" s="1">
        <v>1</v>
      </c>
      <c r="F60" s="2" t="s">
        <v>206</v>
      </c>
      <c r="G60" s="1" t="s">
        <v>411</v>
      </c>
      <c r="H60" s="1" t="s">
        <v>203</v>
      </c>
      <c r="I60" s="1"/>
    </row>
    <row r="61" spans="1:9" x14ac:dyDescent="0.25">
      <c r="A61" s="2" t="str">
        <f t="shared" si="1"/>
        <v>KRL1632E-M-R010-F-T5RES_C_1206_SHUNT</v>
      </c>
      <c r="B61" s="2" t="s">
        <v>209</v>
      </c>
      <c r="C61" s="2" t="s">
        <v>210</v>
      </c>
      <c r="D61" s="2" t="s">
        <v>211</v>
      </c>
      <c r="E61" s="1">
        <v>8</v>
      </c>
      <c r="F61" s="2" t="s">
        <v>212</v>
      </c>
      <c r="G61" s="1" t="s">
        <v>213</v>
      </c>
      <c r="H61" s="1" t="s">
        <v>209</v>
      </c>
      <c r="I61" s="1"/>
    </row>
    <row r="62" spans="1:9" x14ac:dyDescent="0.25">
      <c r="A62" s="2" t="str">
        <f t="shared" si="1"/>
        <v>LM1117MP-3.3/NOPBVREG_LM1117MP-3.3/NOPB</v>
      </c>
      <c r="B62" s="2" t="s">
        <v>214</v>
      </c>
      <c r="C62" s="2" t="s">
        <v>215</v>
      </c>
      <c r="D62" s="2" t="s">
        <v>216</v>
      </c>
      <c r="E62" s="1">
        <v>2</v>
      </c>
      <c r="F62" s="2" t="s">
        <v>217</v>
      </c>
      <c r="G62" s="1" t="s">
        <v>412</v>
      </c>
      <c r="H62" s="1" t="s">
        <v>214</v>
      </c>
      <c r="I62" s="1"/>
    </row>
    <row r="63" spans="1:9" x14ac:dyDescent="0.25">
      <c r="A63" s="2" t="str">
        <f t="shared" si="1"/>
        <v>LTC2865HMSE#TRPBFMSOP-12_MSE_LIT</v>
      </c>
      <c r="B63" s="2" t="s">
        <v>218</v>
      </c>
      <c r="C63" s="2" t="s">
        <v>219</v>
      </c>
      <c r="D63" s="2" t="s">
        <v>220</v>
      </c>
      <c r="E63" s="1">
        <v>1</v>
      </c>
      <c r="F63" s="2" t="s">
        <v>221</v>
      </c>
      <c r="G63" s="1" t="s">
        <v>413</v>
      </c>
      <c r="H63" s="1" t="s">
        <v>218</v>
      </c>
      <c r="I63" s="1"/>
    </row>
    <row r="64" spans="1:9" x14ac:dyDescent="0.25">
      <c r="A64" s="2" t="str">
        <f t="shared" si="1"/>
        <v>LTC3569EUDC#TRPBFQFN20_UDC_3X4_ADI</v>
      </c>
      <c r="B64" s="2" t="s">
        <v>222</v>
      </c>
      <c r="C64" s="2" t="s">
        <v>223</v>
      </c>
      <c r="D64" s="2" t="s">
        <v>224</v>
      </c>
      <c r="E64" s="1">
        <v>1</v>
      </c>
      <c r="F64" s="2" t="s">
        <v>225</v>
      </c>
      <c r="G64" s="1" t="s">
        <v>413</v>
      </c>
      <c r="H64" s="1" t="s">
        <v>222</v>
      </c>
      <c r="I64" s="1"/>
    </row>
    <row r="65" spans="1:9" x14ac:dyDescent="0.25">
      <c r="A65" s="2" t="str">
        <f t="shared" si="1"/>
        <v>MAX3485CSA+T21-0041-3-M_90-0096-8L_MXM</v>
      </c>
      <c r="B65" s="2" t="s">
        <v>226</v>
      </c>
      <c r="C65" s="2" t="s">
        <v>227</v>
      </c>
      <c r="D65" s="2" t="s">
        <v>228</v>
      </c>
      <c r="E65" s="1">
        <v>1</v>
      </c>
      <c r="F65" s="2" t="s">
        <v>229</v>
      </c>
      <c r="G65" s="1" t="s">
        <v>414</v>
      </c>
      <c r="H65" s="1" t="s">
        <v>226</v>
      </c>
      <c r="I65" s="1"/>
    </row>
    <row r="66" spans="1:9" x14ac:dyDescent="0.25">
      <c r="A66" s="2" t="str">
        <f t="shared" si="1"/>
        <v>MCP16502 QFN-32QFN-32_5X5_EP3.7X3.7</v>
      </c>
      <c r="B66" s="2" t="s">
        <v>230</v>
      </c>
      <c r="C66" s="2" t="s">
        <v>8</v>
      </c>
      <c r="D66" s="2" t="s">
        <v>231</v>
      </c>
      <c r="E66" s="1">
        <v>1</v>
      </c>
      <c r="F66" s="2" t="s">
        <v>232</v>
      </c>
      <c r="G66" s="1" t="s">
        <v>180</v>
      </c>
      <c r="H66" s="1" t="s">
        <v>233</v>
      </c>
      <c r="I66" s="1"/>
    </row>
    <row r="67" spans="1:9" x14ac:dyDescent="0.25">
      <c r="A67" s="2" t="str">
        <f t="shared" si="1"/>
        <v>MIC2026-1YMSOIC127P602X173-8N</v>
      </c>
      <c r="B67" s="2" t="s">
        <v>234</v>
      </c>
      <c r="C67" s="2" t="s">
        <v>235</v>
      </c>
      <c r="D67" s="2" t="s">
        <v>236</v>
      </c>
      <c r="E67" s="1">
        <v>3</v>
      </c>
      <c r="F67" s="2" t="s">
        <v>237</v>
      </c>
      <c r="G67" s="1" t="s">
        <v>176</v>
      </c>
      <c r="H67" s="1" t="s">
        <v>234</v>
      </c>
      <c r="I67" s="1"/>
    </row>
    <row r="68" spans="1:9" x14ac:dyDescent="0.25">
      <c r="A68" s="2" t="str">
        <f t="shared" si="1"/>
        <v>MMBT2222ASOT95P240X120-3N</v>
      </c>
      <c r="B68" s="2" t="s">
        <v>238</v>
      </c>
      <c r="C68" s="2" t="s">
        <v>8</v>
      </c>
      <c r="D68" s="2" t="s">
        <v>239</v>
      </c>
      <c r="E68" s="1">
        <v>2</v>
      </c>
      <c r="F68" s="2" t="s">
        <v>148</v>
      </c>
      <c r="G68" s="1" t="s">
        <v>415</v>
      </c>
      <c r="H68" s="1" t="s">
        <v>238</v>
      </c>
      <c r="I68" s="1"/>
    </row>
    <row r="69" spans="1:9" x14ac:dyDescent="0.25">
      <c r="A69" s="2" t="str">
        <f t="shared" si="1"/>
        <v>MMBT2907SOT95P240X120-3N</v>
      </c>
      <c r="B69" s="2" t="s">
        <v>241</v>
      </c>
      <c r="C69" s="2" t="s">
        <v>8</v>
      </c>
      <c r="D69" s="2" t="s">
        <v>242</v>
      </c>
      <c r="E69" s="1">
        <v>1</v>
      </c>
      <c r="F69" s="2" t="s">
        <v>148</v>
      </c>
      <c r="G69" s="1" t="s">
        <v>421</v>
      </c>
      <c r="H69" s="2" t="s">
        <v>241</v>
      </c>
      <c r="I69" s="1"/>
    </row>
    <row r="70" spans="1:9" x14ac:dyDescent="0.25">
      <c r="A70" s="2" t="str">
        <f t="shared" si="1"/>
        <v>Molex_1051620001Molex_1051620001</v>
      </c>
      <c r="B70" s="2" t="s">
        <v>243</v>
      </c>
      <c r="C70" s="2" t="s">
        <v>244</v>
      </c>
      <c r="D70" s="2" t="s">
        <v>245</v>
      </c>
      <c r="E70" s="1">
        <v>1</v>
      </c>
      <c r="F70" s="2" t="s">
        <v>243</v>
      </c>
      <c r="G70" s="1" t="s">
        <v>407</v>
      </c>
      <c r="H70" s="1">
        <v>1051620001</v>
      </c>
      <c r="I70" s="1"/>
    </row>
    <row r="71" spans="1:9" x14ac:dyDescent="0.25">
      <c r="A71" s="2" t="str">
        <f t="shared" si="1"/>
        <v>MTFC16GAKAEDQ-AIT TRBGA_100_C_100P_10X17_1400X1800X150</v>
      </c>
      <c r="B71" s="2" t="s">
        <v>246</v>
      </c>
      <c r="C71" s="2" t="s">
        <v>8</v>
      </c>
      <c r="D71" s="2" t="s">
        <v>247</v>
      </c>
      <c r="E71" s="1">
        <v>1</v>
      </c>
      <c r="F71" s="2" t="s">
        <v>248</v>
      </c>
      <c r="G71" s="1" t="s">
        <v>416</v>
      </c>
      <c r="H71" s="1" t="s">
        <v>246</v>
      </c>
      <c r="I71" s="1"/>
    </row>
    <row r="72" spans="1:9" x14ac:dyDescent="0.25">
      <c r="A72" s="2" t="str">
        <f t="shared" si="1"/>
        <v>OPA2340UASOIC127P602X173-8N</v>
      </c>
      <c r="B72" s="2" t="s">
        <v>249</v>
      </c>
      <c r="C72" s="2" t="s">
        <v>8</v>
      </c>
      <c r="D72" s="2" t="s">
        <v>250</v>
      </c>
      <c r="E72" s="1">
        <v>2</v>
      </c>
      <c r="F72" s="2" t="s">
        <v>237</v>
      </c>
      <c r="G72" s="1" t="s">
        <v>412</v>
      </c>
      <c r="H72" s="1" t="s">
        <v>249</v>
      </c>
      <c r="I72" s="1"/>
    </row>
    <row r="73" spans="1:9" x14ac:dyDescent="0.25">
      <c r="A73" s="2" t="str">
        <f t="shared" si="1"/>
        <v>PAC1934 UQFN-16UQFN-16_4X4_EP2.6X2.6</v>
      </c>
      <c r="B73" s="2" t="s">
        <v>251</v>
      </c>
      <c r="C73" s="2" t="s">
        <v>8</v>
      </c>
      <c r="D73" s="2" t="s">
        <v>252</v>
      </c>
      <c r="E73" s="1">
        <v>2</v>
      </c>
      <c r="F73" s="2" t="s">
        <v>253</v>
      </c>
      <c r="G73" s="1" t="s">
        <v>180</v>
      </c>
      <c r="H73" s="1" t="s">
        <v>254</v>
      </c>
      <c r="I73" s="1"/>
    </row>
    <row r="74" spans="1:9" x14ac:dyDescent="0.25">
      <c r="A74" s="2" t="str">
        <f t="shared" si="1"/>
        <v>PCA9508DP,118TSOP8</v>
      </c>
      <c r="B74" s="2" t="s">
        <v>255</v>
      </c>
      <c r="C74" s="2" t="s">
        <v>8</v>
      </c>
      <c r="D74" s="2" t="s">
        <v>256</v>
      </c>
      <c r="E74" s="1">
        <v>3</v>
      </c>
      <c r="F74" s="2" t="s">
        <v>257</v>
      </c>
      <c r="G74" s="1" t="s">
        <v>417</v>
      </c>
      <c r="H74" s="1" t="s">
        <v>255</v>
      </c>
      <c r="I74" s="1"/>
    </row>
    <row r="75" spans="1:9" x14ac:dyDescent="0.25">
      <c r="A75" s="2" t="str">
        <f t="shared" si="1"/>
        <v>PI3WVR626XEBEXPI3WVR626XEBEX_DIO</v>
      </c>
      <c r="B75" s="2" t="s">
        <v>258</v>
      </c>
      <c r="C75" s="2" t="s">
        <v>258</v>
      </c>
      <c r="D75" s="2" t="s">
        <v>259</v>
      </c>
      <c r="E75" s="1">
        <v>1</v>
      </c>
      <c r="F75" s="2" t="s">
        <v>260</v>
      </c>
      <c r="G75" s="1" t="s">
        <v>408</v>
      </c>
      <c r="H75" s="1" t="s">
        <v>258</v>
      </c>
      <c r="I75" s="1"/>
    </row>
    <row r="76" spans="1:9" x14ac:dyDescent="0.25">
      <c r="A76" s="2" t="str">
        <f t="shared" si="1"/>
        <v>RV-3129-C3-32.768KHZ-OPTION-A-TB-QAIC_RV-3129-C3-32.768KHZ-OPTION-A-TB-QA</v>
      </c>
      <c r="B76" s="2" t="s">
        <v>261</v>
      </c>
      <c r="C76" s="2" t="s">
        <v>262</v>
      </c>
      <c r="D76" s="2" t="s">
        <v>263</v>
      </c>
      <c r="E76" s="1">
        <v>1</v>
      </c>
      <c r="F76" s="2" t="s">
        <v>264</v>
      </c>
      <c r="G76" s="1" t="s">
        <v>418</v>
      </c>
      <c r="H76" s="1" t="s">
        <v>261</v>
      </c>
      <c r="I76" s="1"/>
    </row>
    <row r="77" spans="1:9" x14ac:dyDescent="0.25">
      <c r="A77" s="2" t="str">
        <f t="shared" si="1"/>
        <v>S25FL128LAGMFI010SOIC8_S25FL_CYP</v>
      </c>
      <c r="B77" s="2" t="s">
        <v>265</v>
      </c>
      <c r="C77" s="2" t="s">
        <v>2</v>
      </c>
      <c r="D77" s="2" t="s">
        <v>266</v>
      </c>
      <c r="E77" s="1">
        <v>1</v>
      </c>
      <c r="F77" s="2" t="s">
        <v>267</v>
      </c>
      <c r="G77" s="1" t="s">
        <v>419</v>
      </c>
      <c r="H77" s="1" t="s">
        <v>265</v>
      </c>
      <c r="I77" s="1"/>
    </row>
    <row r="78" spans="1:9" x14ac:dyDescent="0.25">
      <c r="A78" s="2" t="str">
        <f t="shared" si="1"/>
        <v>SAMA7G54TFBGA-343_14x14 - 2.5mm</v>
      </c>
      <c r="B78" s="2" t="s">
        <v>268</v>
      </c>
      <c r="C78" s="2" t="s">
        <v>269</v>
      </c>
      <c r="D78" s="2" t="s">
        <v>270</v>
      </c>
      <c r="E78" s="1">
        <v>1</v>
      </c>
      <c r="F78" s="2" t="s">
        <v>271</v>
      </c>
      <c r="G78" s="1" t="s">
        <v>180</v>
      </c>
      <c r="H78" s="1" t="s">
        <v>272</v>
      </c>
      <c r="I78" s="1"/>
    </row>
    <row r="79" spans="1:9" x14ac:dyDescent="0.25">
      <c r="A79" s="2" t="str">
        <f t="shared" si="1"/>
        <v>SIT8924BA-11-33E-100.000000CRYSTAL_ABM8G</v>
      </c>
      <c r="B79" s="2" t="s">
        <v>273</v>
      </c>
      <c r="C79" s="2" t="s">
        <v>274</v>
      </c>
      <c r="D79" s="2" t="s">
        <v>275</v>
      </c>
      <c r="E79" s="1">
        <v>1</v>
      </c>
      <c r="F79" s="2" t="s">
        <v>139</v>
      </c>
      <c r="G79" s="1" t="s">
        <v>276</v>
      </c>
      <c r="H79" s="1" t="s">
        <v>273</v>
      </c>
      <c r="I79" s="1"/>
    </row>
    <row r="80" spans="1:9" x14ac:dyDescent="0.25">
      <c r="A80" s="2" t="str">
        <f t="shared" si="1"/>
        <v>SN65C3232PWRSOP65P640X120-16N</v>
      </c>
      <c r="B80" s="2" t="s">
        <v>277</v>
      </c>
      <c r="C80" s="2" t="s">
        <v>278</v>
      </c>
      <c r="D80" s="2" t="s">
        <v>279</v>
      </c>
      <c r="E80" s="1">
        <v>1</v>
      </c>
      <c r="F80" s="2" t="s">
        <v>280</v>
      </c>
      <c r="G80" s="1" t="s">
        <v>412</v>
      </c>
      <c r="H80" s="1" t="s">
        <v>277</v>
      </c>
      <c r="I80" s="1"/>
    </row>
    <row r="81" spans="1:9" x14ac:dyDescent="0.25">
      <c r="A81" s="2" t="str">
        <f t="shared" si="1"/>
        <v>SN65HVD230DRSOIC127P602X173-8N</v>
      </c>
      <c r="B81" s="2" t="s">
        <v>281</v>
      </c>
      <c r="C81" s="2" t="s">
        <v>282</v>
      </c>
      <c r="D81" s="2" t="s">
        <v>283</v>
      </c>
      <c r="E81" s="1">
        <v>2</v>
      </c>
      <c r="F81" s="2" t="s">
        <v>237</v>
      </c>
      <c r="G81" s="1" t="s">
        <v>412</v>
      </c>
      <c r="H81" s="1" t="s">
        <v>281</v>
      </c>
      <c r="I81" s="1"/>
    </row>
    <row r="82" spans="1:9" x14ac:dyDescent="0.25">
      <c r="A82" s="2" t="str">
        <f t="shared" si="1"/>
        <v>SN74AXCH8T245PWRSOP65P640X120-24N</v>
      </c>
      <c r="B82" s="2" t="s">
        <v>284</v>
      </c>
      <c r="C82" s="2" t="s">
        <v>285</v>
      </c>
      <c r="D82" s="2" t="s">
        <v>286</v>
      </c>
      <c r="E82" s="1">
        <v>3</v>
      </c>
      <c r="F82" s="2" t="s">
        <v>287</v>
      </c>
      <c r="G82" s="1" t="s">
        <v>412</v>
      </c>
      <c r="H82" s="1" t="s">
        <v>284</v>
      </c>
      <c r="I82" s="1"/>
    </row>
    <row r="83" spans="1:9" x14ac:dyDescent="0.25">
      <c r="A83" s="2" t="str">
        <f t="shared" si="1"/>
        <v>SN74LV4052APWRSOP65P640X120-16N</v>
      </c>
      <c r="B83" s="2" t="s">
        <v>288</v>
      </c>
      <c r="C83" s="2" t="s">
        <v>289</v>
      </c>
      <c r="D83" s="2" t="s">
        <v>290</v>
      </c>
      <c r="E83" s="1">
        <v>1</v>
      </c>
      <c r="F83" s="2" t="s">
        <v>280</v>
      </c>
      <c r="G83" s="1" t="s">
        <v>412</v>
      </c>
      <c r="H83" s="1" t="s">
        <v>288</v>
      </c>
      <c r="I83" s="1"/>
    </row>
    <row r="84" spans="1:9" x14ac:dyDescent="0.25">
      <c r="A84" s="2" t="str">
        <f t="shared" si="1"/>
        <v>SN3257QPWRQ1SOIC_PRQ1_TEX</v>
      </c>
      <c r="B84" s="2" t="s">
        <v>291</v>
      </c>
      <c r="C84" s="2" t="s">
        <v>292</v>
      </c>
      <c r="D84" s="2" t="s">
        <v>293</v>
      </c>
      <c r="E84" s="1">
        <v>2</v>
      </c>
      <c r="F84" s="2" t="s">
        <v>294</v>
      </c>
      <c r="G84" s="1" t="s">
        <v>412</v>
      </c>
      <c r="H84" s="1" t="s">
        <v>291</v>
      </c>
      <c r="I84" s="1"/>
    </row>
    <row r="85" spans="1:9" x14ac:dyDescent="0.25">
      <c r="A85" s="2" t="str">
        <f t="shared" si="1"/>
        <v>SS54DO-214AC_SMA</v>
      </c>
      <c r="B85" s="2" t="s">
        <v>295</v>
      </c>
      <c r="C85" s="2" t="s">
        <v>296</v>
      </c>
      <c r="D85" s="2" t="s">
        <v>297</v>
      </c>
      <c r="E85" s="1">
        <v>5</v>
      </c>
      <c r="F85" s="2" t="s">
        <v>298</v>
      </c>
      <c r="G85" s="1" t="s">
        <v>420</v>
      </c>
      <c r="H85" s="1" t="s">
        <v>295</v>
      </c>
      <c r="I85" s="1"/>
    </row>
    <row r="86" spans="1:9" x14ac:dyDescent="0.25">
      <c r="A86" s="2" t="str">
        <f t="shared" si="1"/>
        <v>TC1047AVNBTRSOT-23-3</v>
      </c>
      <c r="B86" s="2" t="s">
        <v>299</v>
      </c>
      <c r="C86" s="2" t="s">
        <v>300</v>
      </c>
      <c r="D86" s="2" t="s">
        <v>301</v>
      </c>
      <c r="E86" s="1">
        <v>1</v>
      </c>
      <c r="F86" s="2" t="s">
        <v>125</v>
      </c>
      <c r="G86" s="1" t="s">
        <v>176</v>
      </c>
      <c r="H86" s="2" t="s">
        <v>299</v>
      </c>
      <c r="I86" s="1"/>
    </row>
    <row r="87" spans="1:9" x14ac:dyDescent="0.25">
      <c r="A87" s="2" t="str">
        <f t="shared" si="1"/>
        <v>TLV75518PDBVRSOT25</v>
      </c>
      <c r="B87" s="2" t="s">
        <v>302</v>
      </c>
      <c r="C87" s="2" t="s">
        <v>8</v>
      </c>
      <c r="D87" s="2" t="s">
        <v>303</v>
      </c>
      <c r="E87" s="1">
        <v>1</v>
      </c>
      <c r="F87" s="2" t="s">
        <v>304</v>
      </c>
      <c r="G87" s="1" t="s">
        <v>412</v>
      </c>
      <c r="H87" s="1" t="s">
        <v>302</v>
      </c>
      <c r="I87" s="1"/>
    </row>
    <row r="88" spans="1:9" x14ac:dyDescent="0.25">
      <c r="A88" s="2" t="str">
        <f t="shared" si="1"/>
        <v>TPL5010DDCRTPL5010DDCR</v>
      </c>
      <c r="B88" s="2" t="s">
        <v>305</v>
      </c>
      <c r="C88" s="2" t="s">
        <v>306</v>
      </c>
      <c r="D88" s="2" t="s">
        <v>307</v>
      </c>
      <c r="E88" s="1">
        <v>1</v>
      </c>
      <c r="F88" s="2" t="s">
        <v>305</v>
      </c>
      <c r="G88" s="1" t="s">
        <v>412</v>
      </c>
      <c r="H88" s="1" t="s">
        <v>305</v>
      </c>
      <c r="I88" s="1"/>
    </row>
    <row r="89" spans="1:9" x14ac:dyDescent="0.25">
      <c r="A89" s="2" t="str">
        <f t="shared" si="1"/>
        <v>TPS259470ARPWRVQFN-HR-10</v>
      </c>
      <c r="B89" s="2" t="s">
        <v>308</v>
      </c>
      <c r="C89" s="2" t="s">
        <v>8</v>
      </c>
      <c r="D89" s="2" t="s">
        <v>309</v>
      </c>
      <c r="E89" s="1">
        <v>3</v>
      </c>
      <c r="F89" s="2" t="s">
        <v>310</v>
      </c>
      <c r="G89" s="1" t="s">
        <v>412</v>
      </c>
      <c r="H89" s="1" t="s">
        <v>308</v>
      </c>
      <c r="I89" s="1"/>
    </row>
    <row r="90" spans="1:9" x14ac:dyDescent="0.25">
      <c r="A90" s="2" t="str">
        <f t="shared" si="1"/>
        <v>TPS259470ARPWRVQFN-HR-10</v>
      </c>
      <c r="B90" s="2" t="s">
        <v>308</v>
      </c>
      <c r="C90" s="2" t="s">
        <v>8</v>
      </c>
      <c r="D90" s="2" t="s">
        <v>311</v>
      </c>
      <c r="E90" s="1">
        <v>2</v>
      </c>
      <c r="F90" s="2" t="s">
        <v>310</v>
      </c>
      <c r="G90" s="1" t="s">
        <v>412</v>
      </c>
      <c r="H90" s="1" t="s">
        <v>308</v>
      </c>
      <c r="I90" s="1"/>
    </row>
    <row r="91" spans="1:9" x14ac:dyDescent="0.25">
      <c r="A91" s="2" t="str">
        <f t="shared" si="1"/>
        <v>USBLC6-2SC6SOT95P280X145-6N</v>
      </c>
      <c r="B91" s="2" t="s">
        <v>312</v>
      </c>
      <c r="C91" s="2" t="s">
        <v>313</v>
      </c>
      <c r="D91" s="2" t="s">
        <v>314</v>
      </c>
      <c r="E91" s="1">
        <v>5</v>
      </c>
      <c r="F91" s="2" t="s">
        <v>202</v>
      </c>
      <c r="G91" s="1" t="s">
        <v>421</v>
      </c>
      <c r="H91" s="1" t="s">
        <v>312</v>
      </c>
      <c r="I91" s="1"/>
    </row>
    <row r="92" spans="1:9" x14ac:dyDescent="0.25">
      <c r="A92" s="2" t="str">
        <f t="shared" si="1"/>
        <v>XC7A35T-1FTG256CFTG256</v>
      </c>
      <c r="B92" s="2" t="s">
        <v>315</v>
      </c>
      <c r="C92" s="2" t="s">
        <v>316</v>
      </c>
      <c r="D92" s="2" t="s">
        <v>317</v>
      </c>
      <c r="E92" s="1">
        <v>1</v>
      </c>
      <c r="F92" s="2" t="s">
        <v>318</v>
      </c>
      <c r="G92" s="1" t="s">
        <v>422</v>
      </c>
      <c r="H92" s="1" t="s">
        <v>315</v>
      </c>
      <c r="I92" s="1"/>
    </row>
    <row r="93" spans="1:9" x14ac:dyDescent="0.25">
      <c r="A93" s="6" t="str">
        <f t="shared" si="1"/>
        <v/>
      </c>
    </row>
    <row r="94" spans="1:9" x14ac:dyDescent="0.25">
      <c r="A94" s="2" t="str">
        <f t="shared" si="1"/>
        <v/>
      </c>
    </row>
    <row r="95" spans="1:9" x14ac:dyDescent="0.25">
      <c r="A95" s="2" t="str">
        <f t="shared" si="1"/>
        <v/>
      </c>
    </row>
    <row r="96" spans="1:9" x14ac:dyDescent="0.25">
      <c r="A96" s="2" t="str">
        <f t="shared" si="1"/>
        <v/>
      </c>
    </row>
    <row r="97" spans="1:6" x14ac:dyDescent="0.25">
      <c r="A97" s="2" t="str">
        <f t="shared" si="1"/>
        <v/>
      </c>
    </row>
    <row r="98" spans="1:6" x14ac:dyDescent="0.25">
      <c r="A98" s="2" t="str">
        <f t="shared" si="1"/>
        <v>DNP list</v>
      </c>
      <c r="B98" s="5" t="s">
        <v>319</v>
      </c>
    </row>
    <row r="99" spans="1:6" x14ac:dyDescent="0.25">
      <c r="A99" s="2" t="str">
        <f t="shared" si="1"/>
        <v>DNP/0RRES_C_1608X60</v>
      </c>
      <c r="B99" s="2" t="s">
        <v>149</v>
      </c>
      <c r="C99" s="2" t="s">
        <v>8</v>
      </c>
      <c r="D99" s="2" t="s">
        <v>150</v>
      </c>
      <c r="E99" s="1">
        <v>3</v>
      </c>
      <c r="F99" s="2" t="s">
        <v>151</v>
      </c>
    </row>
    <row r="100" spans="1:6" x14ac:dyDescent="0.25">
      <c r="A100" s="2" t="str">
        <f t="shared" si="1"/>
        <v>DNP/0RJUMPER_1-2_1608X60</v>
      </c>
      <c r="B100" s="2" t="s">
        <v>149</v>
      </c>
      <c r="C100" s="2" t="s">
        <v>8</v>
      </c>
      <c r="D100" s="2" t="s">
        <v>152</v>
      </c>
      <c r="E100" s="1">
        <v>1</v>
      </c>
      <c r="F100" s="2" t="s">
        <v>153</v>
      </c>
    </row>
    <row r="101" spans="1:6" x14ac:dyDescent="0.25">
      <c r="A101" s="2" t="str">
        <f t="shared" si="1"/>
        <v>DNP/0RJUMPER_1608</v>
      </c>
      <c r="B101" s="2" t="s">
        <v>149</v>
      </c>
      <c r="C101" s="2" t="s">
        <v>8</v>
      </c>
      <c r="D101" s="2" t="s">
        <v>154</v>
      </c>
      <c r="E101" s="1">
        <v>3</v>
      </c>
      <c r="F101" s="2" t="s">
        <v>10</v>
      </c>
    </row>
    <row r="102" spans="1:6" x14ac:dyDescent="0.25">
      <c r="A102" s="2" t="str">
        <f t="shared" si="1"/>
        <v>DNP/0RRES_C_1005x30_L</v>
      </c>
      <c r="B102" s="2" t="s">
        <v>149</v>
      </c>
      <c r="C102" s="2" t="s">
        <v>15</v>
      </c>
      <c r="D102" s="2" t="s">
        <v>155</v>
      </c>
      <c r="E102" s="1">
        <v>3</v>
      </c>
      <c r="F102" s="2" t="s">
        <v>17</v>
      </c>
    </row>
    <row r="103" spans="1:6" x14ac:dyDescent="0.25">
      <c r="A103" s="2" t="str">
        <f t="shared" si="1"/>
        <v>DNP/0RRES_C_1005x30_L</v>
      </c>
      <c r="B103" s="2" t="s">
        <v>149</v>
      </c>
      <c r="C103" s="2" t="s">
        <v>15</v>
      </c>
      <c r="D103" s="2" t="s">
        <v>156</v>
      </c>
      <c r="E103" s="1">
        <v>4</v>
      </c>
      <c r="F103" s="2" t="s">
        <v>17</v>
      </c>
    </row>
    <row r="104" spans="1:6" x14ac:dyDescent="0.25">
      <c r="A104" s="2" t="str">
        <f t="shared" si="1"/>
        <v>DNP/0RRES_C_1005X40</v>
      </c>
      <c r="B104" s="2" t="s">
        <v>149</v>
      </c>
      <c r="C104" s="2" t="s">
        <v>15</v>
      </c>
      <c r="D104" s="2" t="s">
        <v>157</v>
      </c>
      <c r="E104" s="1">
        <v>2</v>
      </c>
      <c r="F104" s="2" t="s">
        <v>37</v>
      </c>
    </row>
    <row r="105" spans="1:6" x14ac:dyDescent="0.25">
      <c r="A105" s="2" t="str">
        <f t="shared" si="1"/>
        <v>DNP/1M 1%RES_C_1005x30_L</v>
      </c>
      <c r="B105" s="2" t="s">
        <v>158</v>
      </c>
      <c r="C105" s="2" t="s">
        <v>15</v>
      </c>
      <c r="D105" s="2" t="s">
        <v>159</v>
      </c>
      <c r="E105" s="1">
        <v>1</v>
      </c>
      <c r="F105" s="2" t="s">
        <v>17</v>
      </c>
    </row>
    <row r="106" spans="1:6" x14ac:dyDescent="0.25">
      <c r="A106" s="2" t="str">
        <f t="shared" si="1"/>
        <v>DNP/4.7kRES_C_1005x30_L</v>
      </c>
      <c r="B106" s="2" t="s">
        <v>160</v>
      </c>
      <c r="C106" s="2" t="s">
        <v>15</v>
      </c>
      <c r="D106" s="2" t="s">
        <v>161</v>
      </c>
      <c r="E106" s="1">
        <v>10</v>
      </c>
      <c r="F106" s="2" t="s">
        <v>17</v>
      </c>
    </row>
    <row r="107" spans="1:6" x14ac:dyDescent="0.25">
      <c r="A107" s="2" t="str">
        <f t="shared" ref="A107:A115" si="2">B107&amp;F107</f>
        <v>DNP/4.7kRES_C_1005x30_L</v>
      </c>
      <c r="B107" s="2" t="s">
        <v>160</v>
      </c>
      <c r="C107" s="2" t="s">
        <v>15</v>
      </c>
      <c r="D107" s="2" t="s">
        <v>162</v>
      </c>
      <c r="E107" s="1">
        <v>3</v>
      </c>
      <c r="F107" s="2" t="s">
        <v>17</v>
      </c>
    </row>
    <row r="108" spans="1:6" x14ac:dyDescent="0.25">
      <c r="A108" s="2" t="str">
        <f t="shared" si="2"/>
        <v>DNP/4.7kRES_C_1005X40</v>
      </c>
      <c r="B108" s="2" t="s">
        <v>160</v>
      </c>
      <c r="C108" s="2" t="s">
        <v>15</v>
      </c>
      <c r="D108" s="2" t="s">
        <v>163</v>
      </c>
      <c r="E108" s="1">
        <v>3</v>
      </c>
      <c r="F108" s="2" t="s">
        <v>37</v>
      </c>
    </row>
    <row r="109" spans="1:6" x14ac:dyDescent="0.25">
      <c r="A109" s="2" t="str">
        <f t="shared" si="2"/>
        <v>DNP/10kRES_C_1005x30_L</v>
      </c>
      <c r="B109" s="2" t="s">
        <v>164</v>
      </c>
      <c r="C109" s="2" t="s">
        <v>15</v>
      </c>
      <c r="D109" s="2" t="s">
        <v>165</v>
      </c>
      <c r="E109" s="1">
        <v>20</v>
      </c>
      <c r="F109" s="2" t="s">
        <v>17</v>
      </c>
    </row>
    <row r="110" spans="1:6" x14ac:dyDescent="0.25">
      <c r="A110" s="2" t="str">
        <f t="shared" si="2"/>
        <v>DNP/22RRES_C_1005x30_L</v>
      </c>
      <c r="B110" s="2" t="s">
        <v>166</v>
      </c>
      <c r="C110" s="2" t="s">
        <v>15</v>
      </c>
      <c r="D110" s="2" t="s">
        <v>167</v>
      </c>
      <c r="E110" s="1">
        <v>1</v>
      </c>
      <c r="F110" s="2" t="s">
        <v>17</v>
      </c>
    </row>
    <row r="111" spans="1:6" x14ac:dyDescent="0.25">
      <c r="A111" s="2" t="str">
        <f t="shared" si="2"/>
        <v>DNP/120RRES_C_1005x30_L</v>
      </c>
      <c r="B111" s="2" t="s">
        <v>168</v>
      </c>
      <c r="C111" s="2" t="s">
        <v>15</v>
      </c>
      <c r="D111" s="2" t="s">
        <v>169</v>
      </c>
      <c r="E111" s="1">
        <v>2</v>
      </c>
      <c r="F111" s="2" t="s">
        <v>17</v>
      </c>
    </row>
    <row r="112" spans="1:6" x14ac:dyDescent="0.25">
      <c r="A112" s="2" t="str">
        <f t="shared" si="2"/>
        <v>DNP/AS3004204-0108X0PSAYSOIC127P790X216-8</v>
      </c>
      <c r="B112" s="2" t="s">
        <v>170</v>
      </c>
      <c r="C112" s="2" t="s">
        <v>8</v>
      </c>
      <c r="D112" s="2" t="s">
        <v>171</v>
      </c>
      <c r="E112" s="1">
        <v>1</v>
      </c>
      <c r="F112" s="2" t="s">
        <v>172</v>
      </c>
    </row>
    <row r="113" spans="1:6" x14ac:dyDescent="0.25">
      <c r="A113" s="2" t="str">
        <f t="shared" si="2"/>
        <v>DNP/DSC10xx DFN-4DFN-4_2.5x2</v>
      </c>
      <c r="B113" s="2" t="s">
        <v>173</v>
      </c>
      <c r="C113" s="2" t="s">
        <v>8</v>
      </c>
      <c r="D113" s="2" t="s">
        <v>174</v>
      </c>
      <c r="E113" s="1">
        <v>1</v>
      </c>
      <c r="F113" s="2" t="s">
        <v>175</v>
      </c>
    </row>
    <row r="114" spans="1:6" x14ac:dyDescent="0.25">
      <c r="A114" s="2" t="str">
        <f t="shared" si="2"/>
        <v>DNP/DSC60xx DFN-4_LGA-4DFN-4_2x1.6</v>
      </c>
      <c r="B114" s="2" t="s">
        <v>177</v>
      </c>
      <c r="C114" s="2" t="s">
        <v>8</v>
      </c>
      <c r="D114" s="2" t="s">
        <v>178</v>
      </c>
      <c r="E114" s="1">
        <v>1</v>
      </c>
      <c r="F114" s="2" t="s">
        <v>179</v>
      </c>
    </row>
    <row r="115" spans="1:6" x14ac:dyDescent="0.25">
      <c r="A115" s="2" t="str">
        <f t="shared" si="2"/>
        <v>JUMPER_1608</v>
      </c>
      <c r="B115" s="2" t="s">
        <v>8</v>
      </c>
      <c r="C115" s="2" t="s">
        <v>8</v>
      </c>
      <c r="D115" s="2" t="s">
        <v>9</v>
      </c>
      <c r="E115" s="1">
        <v>7</v>
      </c>
      <c r="F115" s="2" t="s">
        <v>10</v>
      </c>
    </row>
    <row r="116" spans="1:6" x14ac:dyDescent="0.25">
      <c r="A116" s="2" t="str">
        <f>B116&amp;F116</f>
        <v>Header 4x1Header_254P_4x1</v>
      </c>
      <c r="B116" s="2" t="s">
        <v>189</v>
      </c>
      <c r="C116" s="2" t="s">
        <v>8</v>
      </c>
      <c r="D116" s="2" t="s">
        <v>190</v>
      </c>
      <c r="E116" s="1">
        <v>3</v>
      </c>
      <c r="F116" s="2" t="s">
        <v>191</v>
      </c>
    </row>
    <row r="117" spans="1:6" x14ac:dyDescent="0.25">
      <c r="A117" s="2" t="str">
        <f>B117&amp;F117</f>
        <v>Header 8x1Header_254P_8x1</v>
      </c>
      <c r="B117" s="2" t="s">
        <v>192</v>
      </c>
      <c r="C117" s="2" t="s">
        <v>8</v>
      </c>
      <c r="D117" s="2" t="s">
        <v>193</v>
      </c>
      <c r="E117" s="1">
        <v>1</v>
      </c>
      <c r="F117" s="2" t="s">
        <v>194</v>
      </c>
    </row>
    <row r="118" spans="1:6" x14ac:dyDescent="0.25">
      <c r="A118" s="2" t="str">
        <f>B118&amp;F118</f>
        <v>Header 8x1PAD JTAG 1.27</v>
      </c>
      <c r="B118" s="2" t="s">
        <v>192</v>
      </c>
      <c r="C118" s="2" t="s">
        <v>8</v>
      </c>
      <c r="D118" s="2" t="s">
        <v>195</v>
      </c>
      <c r="E118" s="1">
        <v>1</v>
      </c>
      <c r="F118" s="2" t="s">
        <v>196</v>
      </c>
    </row>
    <row r="119" spans="1:6" x14ac:dyDescent="0.25">
      <c r="A119" s="2" t="str">
        <f>B119&amp;F119</f>
        <v>hole_spaceHEX-M3_NoVia</v>
      </c>
      <c r="B119" s="2" t="s">
        <v>197</v>
      </c>
      <c r="C119" s="2" t="s">
        <v>8</v>
      </c>
      <c r="D119" s="2" t="s">
        <v>198</v>
      </c>
      <c r="E119" s="1">
        <v>4</v>
      </c>
      <c r="F119" s="2" t="s">
        <v>199</v>
      </c>
    </row>
    <row r="120" spans="1:6" x14ac:dyDescent="0.25">
      <c r="A120" s="2" t="str">
        <f>B120&amp;F120</f>
        <v>JUMPERJUMPER_1608</v>
      </c>
      <c r="B120" s="2" t="s">
        <v>207</v>
      </c>
      <c r="C120" s="2" t="s">
        <v>8</v>
      </c>
      <c r="D120" s="2" t="s">
        <v>208</v>
      </c>
      <c r="E120" s="1">
        <v>5</v>
      </c>
      <c r="F120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DAL_OBC_V11</vt:lpstr>
      <vt:lpstr>DAL_OBC_V11!Print_Titles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2026-09-14T13:12:07Z</dcterms:created>
  <dcterms:modified xsi:type="dcterms:W3CDTF">2026-09-14T14:21:32Z</dcterms:modified>
</cp:coreProperties>
</file>